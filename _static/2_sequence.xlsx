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/Desktop/"/>
    </mc:Choice>
  </mc:AlternateContent>
  <xr:revisionPtr revIDLastSave="0" documentId="13_ncr:1_{04B5539F-A1FF-144F-BA48-102547C0195D}" xr6:coauthVersionLast="47" xr6:coauthVersionMax="47" xr10:uidLastSave="{00000000-0000-0000-0000-000000000000}"/>
  <bookViews>
    <workbookView xWindow="5040" yWindow="2180" windowWidth="28300" windowHeight="17360" activeTab="1" xr2:uid="{299D5B4A-60ED-A94D-8031-03051FCC5AF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 s="1"/>
  <c r="G5" i="2" s="1"/>
  <c r="G6" i="2" s="1"/>
  <c r="G7" i="2" s="1"/>
  <c r="G8" i="2" s="1"/>
  <c r="G9" i="2" s="1"/>
  <c r="C3" i="2"/>
  <c r="C4" i="2" s="1"/>
  <c r="C5" i="2" s="1"/>
  <c r="C6" i="2" s="1"/>
  <c r="C7" i="2" s="1"/>
  <c r="C8" i="2" s="1"/>
  <c r="C9" i="2" s="1"/>
  <c r="C4" i="1"/>
  <c r="C5" i="1"/>
  <c r="C6" i="1"/>
  <c r="C7" i="1"/>
  <c r="C8" i="1"/>
  <c r="C9" i="1"/>
  <c r="C10" i="1"/>
  <c r="C3" i="1"/>
  <c r="E3" i="1" s="1"/>
  <c r="B3" i="1"/>
  <c r="E4" i="1"/>
  <c r="B4" i="1"/>
  <c r="B5" i="1"/>
  <c r="B6" i="1"/>
  <c r="F6" i="1" s="1"/>
  <c r="B7" i="1"/>
  <c r="F7" i="1" s="1"/>
  <c r="B8" i="1"/>
  <c r="F8" i="1" s="1"/>
  <c r="B9" i="1"/>
  <c r="F9" i="1" s="1"/>
  <c r="B10" i="1"/>
  <c r="F10" i="1" s="1"/>
  <c r="E2" i="1"/>
  <c r="F3" i="1"/>
  <c r="F4" i="1"/>
  <c r="F2" i="1"/>
  <c r="E6" i="1"/>
  <c r="D4" i="1"/>
  <c r="D5" i="1"/>
  <c r="D6" i="1"/>
  <c r="D7" i="1"/>
  <c r="D8" i="1"/>
  <c r="D9" i="1"/>
  <c r="D10" i="1"/>
  <c r="E5" i="1" l="1"/>
  <c r="F5" i="1"/>
  <c r="E10" i="1"/>
  <c r="E9" i="1"/>
  <c r="E7" i="1"/>
  <c r="E8" i="1"/>
</calcChain>
</file>

<file path=xl/sharedStrings.xml><?xml version="1.0" encoding="utf-8"?>
<sst xmlns="http://schemas.openxmlformats.org/spreadsheetml/2006/main" count="23" uniqueCount="13">
  <si>
    <t>コツコツ</t>
    <phoneticPr fontId="1"/>
  </si>
  <si>
    <t>雪だるま</t>
    <rPh sb="0" eb="1">
      <t>ユキダ</t>
    </rPh>
    <phoneticPr fontId="1"/>
  </si>
  <si>
    <t>雪だるま2</t>
    <rPh sb="0" eb="1">
      <t>ユキダ</t>
    </rPh>
    <phoneticPr fontId="1"/>
  </si>
  <si>
    <t>4月</t>
    <rPh sb="1" eb="2">
      <t>ガテゥ</t>
    </rPh>
    <phoneticPr fontId="1"/>
  </si>
  <si>
    <t>5月</t>
    <rPh sb="1" eb="2">
      <t>ガテゥ</t>
    </rPh>
    <phoneticPr fontId="1"/>
  </si>
  <si>
    <t>6月</t>
  </si>
  <si>
    <t>7月</t>
  </si>
  <si>
    <t>8月</t>
  </si>
  <si>
    <t>9 月</t>
  </si>
  <si>
    <t>10月</t>
  </si>
  <si>
    <t>3月</t>
    <rPh sb="1" eb="2">
      <t>ガテゥ</t>
    </rPh>
    <phoneticPr fontId="1"/>
  </si>
  <si>
    <t>口座残高</t>
    <rPh sb="0" eb="4">
      <t>コウザ</t>
    </rPh>
    <phoneticPr fontId="1"/>
  </si>
  <si>
    <t>貯金額</t>
    <rPh sb="0" eb="3">
      <t>チョキンガ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</si>
</sst>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2" fillId="2" borderId="0" xfId="0" applyFont="1" applyFill="1" applyBorder="1">
      <alignment vertical="center"/>
    </xf>
    <xf numFmtId="0" fontId="2" fillId="3" borderId="0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コツコツ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100</c:v>
                </c:pt>
                <c:pt idx="1">
                  <c:v>105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4-8146-B5F7-DF5AB654F87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雪だるま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100</c:v>
                </c:pt>
                <c:pt idx="1">
                  <c:v>105</c:v>
                </c:pt>
                <c:pt idx="2">
                  <c:v>105.25</c:v>
                </c:pt>
                <c:pt idx="3">
                  <c:v>105.2625</c:v>
                </c:pt>
                <c:pt idx="4">
                  <c:v>105.26312500000002</c:v>
                </c:pt>
                <c:pt idx="5">
                  <c:v>105.26315625000002</c:v>
                </c:pt>
                <c:pt idx="6">
                  <c:v>105.26315789473634</c:v>
                </c:pt>
                <c:pt idx="7">
                  <c:v>105.26315789473685</c:v>
                </c:pt>
                <c:pt idx="8">
                  <c:v>105.26315789473685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4-8146-B5F7-DF5AB654F87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雪だるま2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</c:numCache>
            </c:numRef>
          </c:cat>
          <c:val>
            <c:numRef>
              <c:f>Sheet1!$D$2:$D$10</c:f>
              <c:numCache>
                <c:formatCode>General</c:formatCode>
                <c:ptCount val="9"/>
                <c:pt idx="0">
                  <c:v>1000</c:v>
                </c:pt>
                <c:pt idx="2">
                  <c:v>1102.5</c:v>
                </c:pt>
                <c:pt idx="3">
                  <c:v>1157.6250000000002</c:v>
                </c:pt>
                <c:pt idx="4">
                  <c:v>1215.5062499999999</c:v>
                </c:pt>
                <c:pt idx="5">
                  <c:v>1276.2815625000001</c:v>
                </c:pt>
                <c:pt idx="6">
                  <c:v>1628.8946267774415</c:v>
                </c:pt>
                <c:pt idx="7">
                  <c:v>2653.2977051444209</c:v>
                </c:pt>
                <c:pt idx="8">
                  <c:v>4321.9423751506629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D4-8146-B5F7-DF5AB654F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651168"/>
        <c:axId val="565465279"/>
      </c:lineChart>
      <c:catAx>
        <c:axId val="36465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465279"/>
        <c:crosses val="autoZero"/>
        <c:auto val="1"/>
        <c:lblAlgn val="ctr"/>
        <c:lblOffset val="100"/>
        <c:noMultiLvlLbl val="0"/>
      </c:catAx>
      <c:valAx>
        <c:axId val="56546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465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貯金の計画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Sheet2!$C$1</c:f>
              <c:strCache>
                <c:ptCount val="1"/>
                <c:pt idx="0">
                  <c:v>口座残高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476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Sheet2!$A$2:$A$9</c:f>
              <c:strCache>
                <c:ptCount val="8"/>
                <c:pt idx="0">
                  <c:v>3月</c:v>
                </c:pt>
                <c:pt idx="1">
                  <c:v>4月</c:v>
                </c:pt>
                <c:pt idx="2">
                  <c:v>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  <c:pt idx="6">
                  <c:v>9 月</c:v>
                </c:pt>
                <c:pt idx="7">
                  <c:v>10月</c:v>
                </c:pt>
              </c:strCache>
            </c:strRef>
          </c:cat>
          <c:val>
            <c:numRef>
              <c:f>Sheet2!$C$2:$C$9</c:f>
              <c:numCache>
                <c:formatCode>General</c:formatCode>
                <c:ptCount val="8"/>
                <c:pt idx="0">
                  <c:v>100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125</c:v>
                </c:pt>
                <c:pt idx="6">
                  <c:v>130</c:v>
                </c:pt>
                <c:pt idx="7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0-9E42-85DB-1F2A16516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182240"/>
        <c:axId val="1806674543"/>
      </c:lineChart>
      <c:catAx>
        <c:axId val="3461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6674543"/>
        <c:crosses val="autoZero"/>
        <c:auto val="1"/>
        <c:lblAlgn val="ctr"/>
        <c:lblOffset val="100"/>
        <c:noMultiLvlLbl val="0"/>
      </c:catAx>
      <c:valAx>
        <c:axId val="1806674543"/>
        <c:scaling>
          <c:orientation val="minMax"/>
          <c:max val="14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18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貯金の現実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Sheet2!$G$1</c:f>
              <c:strCache>
                <c:ptCount val="1"/>
                <c:pt idx="0">
                  <c:v>口座残高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476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Sheet2!$E$2:$E$9</c:f>
              <c:strCache>
                <c:ptCount val="8"/>
                <c:pt idx="0">
                  <c:v>3月</c:v>
                </c:pt>
                <c:pt idx="1">
                  <c:v>4月</c:v>
                </c:pt>
                <c:pt idx="2">
                  <c:v>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  <c:pt idx="6">
                  <c:v>9 月</c:v>
                </c:pt>
                <c:pt idx="7">
                  <c:v>10月</c:v>
                </c:pt>
              </c:strCache>
            </c:strRef>
          </c:cat>
          <c:val>
            <c:numRef>
              <c:f>Sheet2!$G$2:$G$9</c:f>
              <c:numCache>
                <c:formatCode>General</c:formatCode>
                <c:ptCount val="8"/>
                <c:pt idx="0">
                  <c:v>100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118</c:v>
                </c:pt>
                <c:pt idx="5">
                  <c:v>123</c:v>
                </c:pt>
                <c:pt idx="6">
                  <c:v>130</c:v>
                </c:pt>
                <c:pt idx="7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9-054D-927F-4C4C99DF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356768"/>
        <c:axId val="563734447"/>
      </c:lineChart>
      <c:catAx>
        <c:axId val="36335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3734447"/>
        <c:crosses val="autoZero"/>
        <c:auto val="1"/>
        <c:lblAlgn val="ctr"/>
        <c:lblOffset val="100"/>
        <c:noMultiLvlLbl val="0"/>
      </c:catAx>
      <c:valAx>
        <c:axId val="563734447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33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10</xdr:row>
      <xdr:rowOff>63500</xdr:rowOff>
    </xdr:from>
    <xdr:to>
      <xdr:col>11</xdr:col>
      <xdr:colOff>768350</xdr:colOff>
      <xdr:row>21</xdr:row>
      <xdr:rowOff>12700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6C9E345-F70D-A077-4974-0AA67382D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425450</xdr:colOff>
      <xdr:row>10</xdr:row>
      <xdr:rowOff>228600</xdr:rowOff>
    </xdr:from>
    <xdr:to>
      <xdr:col>5</xdr:col>
      <xdr:colOff>717550</xdr:colOff>
      <xdr:row>21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343AB4A-05E7-6683-47F1-50D347BCC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774700</xdr:colOff>
      <xdr:row>10</xdr:row>
      <xdr:rowOff>241300</xdr:rowOff>
    </xdr:from>
    <xdr:to>
      <xdr:col>10</xdr:col>
      <xdr:colOff>584200</xdr:colOff>
      <xdr:row>21</xdr:row>
      <xdr:rowOff>190500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D7FB6B5-146F-4BE6-1260-96C49E3FB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33B3-E6E0-1045-9D0F-DF4DA8774AE2}">
  <dimension ref="A1:F12"/>
  <sheetViews>
    <sheetView workbookViewId="0">
      <selection activeCell="C5" sqref="C5"/>
    </sheetView>
  </sheetViews>
  <sheetFormatPr baseColWidth="10" defaultRowHeight="20"/>
  <cols>
    <col min="3" max="3" width="9.140625" bestFit="1" customWidth="1"/>
  </cols>
  <sheetData>
    <row r="1" spans="1:6">
      <c r="B1" s="2" t="s">
        <v>0</v>
      </c>
      <c r="C1" s="2" t="s">
        <v>1</v>
      </c>
      <c r="D1" t="s">
        <v>2</v>
      </c>
    </row>
    <row r="2" spans="1:6">
      <c r="A2">
        <v>0</v>
      </c>
      <c r="B2">
        <v>100</v>
      </c>
      <c r="C2">
        <v>100</v>
      </c>
      <c r="D2">
        <v>1000</v>
      </c>
      <c r="E2">
        <f>C2/$B2</f>
        <v>1</v>
      </c>
      <c r="F2">
        <f>D2/$B2</f>
        <v>10</v>
      </c>
    </row>
    <row r="3" spans="1:6">
      <c r="A3">
        <v>1</v>
      </c>
      <c r="B3">
        <f>$B$2+5*A3</f>
        <v>105</v>
      </c>
      <c r="C3">
        <f>100*(1-0.05^(A3+1))/(1-0.05)</f>
        <v>105</v>
      </c>
      <c r="E3">
        <f t="shared" ref="E3:E10" si="0">C3/$B3</f>
        <v>1</v>
      </c>
      <c r="F3">
        <f t="shared" ref="F3:F10" si="1">D3/$B3</f>
        <v>0</v>
      </c>
    </row>
    <row r="4" spans="1:6">
      <c r="A4">
        <v>2</v>
      </c>
      <c r="B4">
        <f t="shared" ref="B4:B10" si="2">$B$2+10*A4</f>
        <v>120</v>
      </c>
      <c r="C4">
        <f>100*(1-0.05^(A4+1))/(1-0.05)</f>
        <v>105.25</v>
      </c>
      <c r="D4">
        <f t="shared" ref="D4:D10" si="3">D$2*(1+0.05)^A4</f>
        <v>1102.5</v>
      </c>
      <c r="E4">
        <f t="shared" si="0"/>
        <v>0.87708333333333333</v>
      </c>
      <c r="F4">
        <f t="shared" si="1"/>
        <v>9.1875</v>
      </c>
    </row>
    <row r="5" spans="1:6">
      <c r="A5">
        <v>3</v>
      </c>
      <c r="B5">
        <f t="shared" si="2"/>
        <v>130</v>
      </c>
      <c r="C5">
        <f t="shared" ref="C4:C10" si="4">100*(1-0.05^(A5+1))/(1-0.05)</f>
        <v>105.2625</v>
      </c>
      <c r="D5">
        <f t="shared" si="3"/>
        <v>1157.6250000000002</v>
      </c>
      <c r="E5">
        <f t="shared" si="0"/>
        <v>0.80971153846153854</v>
      </c>
      <c r="F5">
        <f t="shared" si="1"/>
        <v>8.9048076923076938</v>
      </c>
    </row>
    <row r="6" spans="1:6">
      <c r="A6">
        <v>4</v>
      </c>
      <c r="B6">
        <f t="shared" si="2"/>
        <v>140</v>
      </c>
      <c r="C6">
        <f t="shared" si="4"/>
        <v>105.26312500000002</v>
      </c>
      <c r="D6">
        <f t="shared" si="3"/>
        <v>1215.5062499999999</v>
      </c>
      <c r="E6">
        <f t="shared" si="0"/>
        <v>0.75187946428571439</v>
      </c>
      <c r="F6">
        <f t="shared" si="1"/>
        <v>8.6821874999999995</v>
      </c>
    </row>
    <row r="7" spans="1:6">
      <c r="A7">
        <v>5</v>
      </c>
      <c r="B7">
        <f t="shared" si="2"/>
        <v>150</v>
      </c>
      <c r="C7">
        <f t="shared" si="4"/>
        <v>105.26315625000002</v>
      </c>
      <c r="D7">
        <f t="shared" si="3"/>
        <v>1276.2815625000001</v>
      </c>
      <c r="E7">
        <f t="shared" si="0"/>
        <v>0.70175437500000015</v>
      </c>
      <c r="F7">
        <f t="shared" si="1"/>
        <v>8.5085437500000012</v>
      </c>
    </row>
    <row r="8" spans="1:6">
      <c r="A8">
        <v>10</v>
      </c>
      <c r="B8">
        <f t="shared" si="2"/>
        <v>200</v>
      </c>
      <c r="C8">
        <f t="shared" si="4"/>
        <v>105.26315789473634</v>
      </c>
      <c r="D8">
        <f t="shared" si="3"/>
        <v>1628.8946267774415</v>
      </c>
      <c r="E8">
        <f t="shared" si="0"/>
        <v>0.52631578947368174</v>
      </c>
      <c r="F8">
        <f t="shared" si="1"/>
        <v>8.1444731338872085</v>
      </c>
    </row>
    <row r="9" spans="1:6">
      <c r="A9">
        <v>20</v>
      </c>
      <c r="B9">
        <f t="shared" si="2"/>
        <v>300</v>
      </c>
      <c r="C9">
        <f t="shared" si="4"/>
        <v>105.26315789473685</v>
      </c>
      <c r="D9">
        <f t="shared" si="3"/>
        <v>2653.2977051444209</v>
      </c>
      <c r="E9">
        <f t="shared" si="0"/>
        <v>0.35087719298245618</v>
      </c>
      <c r="F9">
        <f t="shared" si="1"/>
        <v>8.8443256838147359</v>
      </c>
    </row>
    <row r="10" spans="1:6">
      <c r="A10">
        <v>30</v>
      </c>
      <c r="B10">
        <f t="shared" si="2"/>
        <v>400</v>
      </c>
      <c r="C10">
        <f t="shared" si="4"/>
        <v>105.26315789473685</v>
      </c>
      <c r="D10">
        <f t="shared" si="3"/>
        <v>4321.9423751506629</v>
      </c>
      <c r="E10">
        <f t="shared" si="0"/>
        <v>0.26315789473684215</v>
      </c>
      <c r="F10">
        <f>D10/$B10</f>
        <v>10.804855937876658</v>
      </c>
    </row>
    <row r="11" spans="1:6">
      <c r="C11" s="1"/>
    </row>
    <row r="12" spans="1:6">
      <c r="C12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B74F-E7AF-C646-99D8-7723131B1CA2}">
  <dimension ref="A1:G9"/>
  <sheetViews>
    <sheetView tabSelected="1" zoomScale="123" zoomScaleNormal="123" workbookViewId="0">
      <selection sqref="A1:G9"/>
    </sheetView>
  </sheetViews>
  <sheetFormatPr baseColWidth="10" defaultRowHeight="20"/>
  <cols>
    <col min="1" max="1" width="5.28515625" bestFit="1" customWidth="1"/>
  </cols>
  <sheetData>
    <row r="1" spans="1:7" ht="21" thickBot="1">
      <c r="A1" s="9"/>
      <c r="B1" s="10" t="s">
        <v>12</v>
      </c>
      <c r="C1" s="11" t="s">
        <v>11</v>
      </c>
      <c r="E1" s="9"/>
      <c r="F1" s="10" t="s">
        <v>12</v>
      </c>
      <c r="G1" s="11" t="s">
        <v>11</v>
      </c>
    </row>
    <row r="2" spans="1:7" ht="21" thickTop="1">
      <c r="A2" s="3" t="s">
        <v>10</v>
      </c>
      <c r="B2" s="4"/>
      <c r="C2" s="5">
        <v>100</v>
      </c>
      <c r="E2" s="3" t="s">
        <v>10</v>
      </c>
      <c r="F2" s="4"/>
      <c r="G2" s="5">
        <v>100</v>
      </c>
    </row>
    <row r="3" spans="1:7">
      <c r="A3" s="3" t="s">
        <v>3</v>
      </c>
      <c r="B3" s="4">
        <v>5</v>
      </c>
      <c r="C3" s="5">
        <f>C2+B3</f>
        <v>105</v>
      </c>
      <c r="E3" s="3" t="s">
        <v>3</v>
      </c>
      <c r="F3" s="4">
        <v>5</v>
      </c>
      <c r="G3" s="5">
        <f>G2+F3</f>
        <v>105</v>
      </c>
    </row>
    <row r="4" spans="1:7">
      <c r="A4" s="3" t="s">
        <v>4</v>
      </c>
      <c r="B4" s="4">
        <v>5</v>
      </c>
      <c r="C4" s="5">
        <f t="shared" ref="C4:C9" si="0">C3+B4</f>
        <v>110</v>
      </c>
      <c r="E4" s="3" t="s">
        <v>4</v>
      </c>
      <c r="F4" s="4">
        <v>5</v>
      </c>
      <c r="G4" s="5">
        <f t="shared" ref="G4:G9" si="1">G3+F4</f>
        <v>110</v>
      </c>
    </row>
    <row r="5" spans="1:7">
      <c r="A5" s="3" t="s">
        <v>5</v>
      </c>
      <c r="B5" s="4">
        <v>5</v>
      </c>
      <c r="C5" s="5">
        <f t="shared" si="0"/>
        <v>115</v>
      </c>
      <c r="E5" s="3" t="s">
        <v>5</v>
      </c>
      <c r="F5" s="4">
        <v>5</v>
      </c>
      <c r="G5" s="5">
        <f t="shared" si="1"/>
        <v>115</v>
      </c>
    </row>
    <row r="6" spans="1:7">
      <c r="A6" s="3" t="s">
        <v>6</v>
      </c>
      <c r="B6" s="4">
        <v>5</v>
      </c>
      <c r="C6" s="5">
        <f t="shared" si="0"/>
        <v>120</v>
      </c>
      <c r="E6" s="12" t="s">
        <v>6</v>
      </c>
      <c r="F6" s="16">
        <v>3</v>
      </c>
      <c r="G6" s="13">
        <f t="shared" si="1"/>
        <v>118</v>
      </c>
    </row>
    <row r="7" spans="1:7">
      <c r="A7" s="3" t="s">
        <v>7</v>
      </c>
      <c r="B7" s="4">
        <v>5</v>
      </c>
      <c r="C7" s="5">
        <f t="shared" si="0"/>
        <v>125</v>
      </c>
      <c r="E7" s="3" t="s">
        <v>7</v>
      </c>
      <c r="F7" s="4">
        <v>5</v>
      </c>
      <c r="G7" s="5">
        <f t="shared" si="1"/>
        <v>123</v>
      </c>
    </row>
    <row r="8" spans="1:7">
      <c r="A8" s="3" t="s">
        <v>8</v>
      </c>
      <c r="B8" s="4">
        <v>5</v>
      </c>
      <c r="C8" s="5">
        <f t="shared" si="0"/>
        <v>130</v>
      </c>
      <c r="E8" s="14" t="s">
        <v>8</v>
      </c>
      <c r="F8" s="17">
        <v>7</v>
      </c>
      <c r="G8" s="15">
        <f t="shared" si="1"/>
        <v>130</v>
      </c>
    </row>
    <row r="9" spans="1:7" ht="21" thickBot="1">
      <c r="A9" s="6" t="s">
        <v>9</v>
      </c>
      <c r="B9" s="7">
        <v>5</v>
      </c>
      <c r="C9" s="8">
        <f t="shared" si="0"/>
        <v>135</v>
      </c>
      <c r="E9" s="6" t="s">
        <v>9</v>
      </c>
      <c r="F9" s="7">
        <v>5</v>
      </c>
      <c r="G9" s="8">
        <f t="shared" si="1"/>
        <v>135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Tamura Ryuichi</dc:creator>
  <cp:lastModifiedBy>Tamura Ryuichi</cp:lastModifiedBy>
  <dcterms:created xsi:type="dcterms:W3CDTF">2026-04-18T03:48:23Z</dcterms:created>
  <dcterms:modified xsi:type="dcterms:W3CDTF">2026-04-19T03:49:01Z</dcterms:modified>
</cp:coreProperties>
</file>