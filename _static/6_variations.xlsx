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D/Dropbox/Toyo/calculus/_static/"/>
    </mc:Choice>
  </mc:AlternateContent>
  <xr:revisionPtr revIDLastSave="0" documentId="13_ncr:1_{670B60C8-762C-0441-BDEA-B69AA9C8FBD1}" xr6:coauthVersionLast="47" xr6:coauthVersionMax="47" xr10:uidLastSave="{00000000-0000-0000-0000-000000000000}"/>
  <bookViews>
    <workbookView xWindow="6380" yWindow="5940" windowWidth="27900" windowHeight="16860" activeTab="3" xr2:uid="{5AEB4961-54D1-B546-9C0C-B400A4966E87}"/>
  </bookViews>
  <sheets>
    <sheet name="Sheet1" sheetId="1" r:id="rId1"/>
    <sheet name="Sheet2" sheetId="2" r:id="rId2"/>
    <sheet name="指数関数の瞬間変化率" sheetId="3" r:id="rId3"/>
    <sheet name="対数関数の瞬間変化率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4" l="1"/>
  <c r="B3" i="4"/>
  <c r="C3" i="4"/>
  <c r="D3" i="4"/>
  <c r="E3" i="4"/>
  <c r="B4" i="4"/>
  <c r="C4" i="4"/>
  <c r="D4" i="4"/>
  <c r="E4" i="4"/>
  <c r="B5" i="4"/>
  <c r="C5" i="4"/>
  <c r="D5" i="4"/>
  <c r="D2" i="4"/>
  <c r="E2" i="4"/>
  <c r="C2" i="4"/>
  <c r="B2" i="4"/>
  <c r="C9" i="4"/>
  <c r="C1" i="4"/>
  <c r="C10" i="3"/>
  <c r="H4" i="1"/>
  <c r="H5" i="1"/>
  <c r="H6" i="1"/>
  <c r="H7" i="1"/>
  <c r="H8" i="1"/>
  <c r="H9" i="1"/>
  <c r="H10" i="1"/>
  <c r="H11" i="1"/>
  <c r="H12" i="1"/>
  <c r="H13" i="1"/>
  <c r="H3" i="1"/>
  <c r="G4" i="1"/>
  <c r="G5" i="1"/>
  <c r="G6" i="1"/>
  <c r="G7" i="1"/>
  <c r="G8" i="1"/>
  <c r="G9" i="1"/>
  <c r="G10" i="1"/>
  <c r="G11" i="1"/>
  <c r="G12" i="1"/>
  <c r="G13" i="1"/>
  <c r="G3" i="1"/>
  <c r="F4" i="1"/>
  <c r="F5" i="1"/>
  <c r="F6" i="1"/>
  <c r="F7" i="1"/>
  <c r="F8" i="1"/>
  <c r="F9" i="1"/>
  <c r="F10" i="1"/>
  <c r="F11" i="1"/>
  <c r="F12" i="1"/>
  <c r="F13" i="1"/>
  <c r="F3" i="1"/>
  <c r="C1" i="3"/>
  <c r="D6" i="3"/>
  <c r="E6" i="3"/>
  <c r="B6" i="3"/>
  <c r="C6" i="3"/>
  <c r="E5" i="3"/>
  <c r="B3" i="3"/>
  <c r="D3" i="3"/>
  <c r="E3" i="3"/>
  <c r="B4" i="3"/>
  <c r="D4" i="3"/>
  <c r="E4" i="3"/>
  <c r="B5" i="3"/>
  <c r="D5" i="3"/>
  <c r="D2" i="3"/>
  <c r="E2" i="3"/>
  <c r="B2" i="3"/>
  <c r="H11" i="2"/>
  <c r="H4" i="2"/>
  <c r="G5" i="2"/>
  <c r="G3" i="2"/>
  <c r="H3" i="2"/>
  <c r="I3" i="2"/>
  <c r="G4" i="2"/>
  <c r="I4" i="2"/>
  <c r="H5" i="2"/>
  <c r="I5" i="2"/>
  <c r="H2" i="2"/>
  <c r="I2" i="2"/>
  <c r="G2" i="2"/>
  <c r="D5" i="2"/>
  <c r="C5" i="2"/>
  <c r="B5" i="2"/>
  <c r="C2" i="2"/>
  <c r="D2" i="2"/>
  <c r="C3" i="2"/>
  <c r="D3" i="2"/>
  <c r="C4" i="2"/>
  <c r="D4" i="2"/>
  <c r="B3" i="2"/>
  <c r="B4" i="2"/>
  <c r="B2" i="2"/>
  <c r="C3" i="3" l="1"/>
  <c r="C4" i="3"/>
  <c r="C5" i="3"/>
  <c r="C2" i="3"/>
</calcChain>
</file>

<file path=xl/sharedStrings.xml><?xml version="1.0" encoding="utf-8"?>
<sst xmlns="http://schemas.openxmlformats.org/spreadsheetml/2006/main" count="34" uniqueCount="20">
  <si>
    <t>2025年05月</t>
  </si>
  <si>
    <t>2025年06月</t>
  </si>
  <si>
    <t>2025年07月</t>
  </si>
  <si>
    <t>2025年08月</t>
  </si>
  <si>
    <t>2025年09月</t>
  </si>
  <si>
    <t>2025年10月</t>
  </si>
  <si>
    <t>2025年11月</t>
  </si>
  <si>
    <t>2025年12月</t>
  </si>
  <si>
    <t>2026年01月</t>
  </si>
  <si>
    <t>2026年02月</t>
  </si>
  <si>
    <t>2026年03月</t>
  </si>
  <si>
    <t>2026年04月</t>
  </si>
  <si>
    <t>年月</t>
    <rPh sb="0" eb="2">
      <t>ネンゲテゥ</t>
    </rPh>
    <phoneticPr fontId="1"/>
  </si>
  <si>
    <t>本数</t>
    <rPh sb="0" eb="2">
      <t>ホンスウ</t>
    </rPh>
    <phoneticPr fontId="1"/>
  </si>
  <si>
    <r>
      <t>log</t>
    </r>
    <r>
      <rPr>
        <sz val="9"/>
        <color theme="1"/>
        <rFont val="游ゴシック"/>
        <family val="3"/>
        <charset val="128"/>
      </rPr>
      <t>e</t>
    </r>
    <r>
      <rPr>
        <sz val="12"/>
        <color theme="1"/>
        <rFont val="游ゴシック"/>
        <family val="2"/>
        <charset val="128"/>
        <scheme val="minor"/>
      </rPr>
      <t>(a)</t>
    </r>
    <phoneticPr fontId="1"/>
  </si>
  <si>
    <t>前月比</t>
    <rPh sb="0" eb="3">
      <t>ゼンゲテゥ</t>
    </rPh>
    <phoneticPr fontId="1"/>
  </si>
  <si>
    <t>ー</t>
    <phoneticPr fontId="1"/>
  </si>
  <si>
    <t>比率</t>
    <rPh sb="0" eb="2">
      <t>ヒリテゥ</t>
    </rPh>
    <phoneticPr fontId="1"/>
  </si>
  <si>
    <t>loge(a)</t>
  </si>
  <si>
    <t>1/loge(a)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</si>
</sst>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80" formatCode="0.0000000"/>
    <numFmt numFmtId="181" formatCode="0.000000"/>
    <numFmt numFmtId="182" formatCode="0.00000"/>
    <numFmt numFmtId="184" formatCode="0.000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 applyProtection="1">
      <protection locked="0"/>
    </xf>
    <xf numFmtId="1" fontId="0" fillId="0" borderId="0" xfId="0" applyNumberFormat="1" applyAlignment="1" applyProtection="1">
      <protection locked="0"/>
    </xf>
    <xf numFmtId="0" fontId="0" fillId="0" borderId="0" xfId="0" applyAlignment="1">
      <alignment horizontal="right" vertical="center"/>
    </xf>
    <xf numFmtId="182" fontId="0" fillId="0" borderId="1" xfId="0" applyNumberFormat="1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>
      <alignment vertical="center"/>
    </xf>
    <xf numFmtId="182" fontId="0" fillId="0" borderId="0" xfId="0" applyNumberFormat="1" applyBorder="1">
      <alignment vertical="center"/>
    </xf>
    <xf numFmtId="182" fontId="0" fillId="0" borderId="6" xfId="0" applyNumberFormat="1" applyBorder="1">
      <alignment vertical="center"/>
    </xf>
    <xf numFmtId="0" fontId="0" fillId="0" borderId="7" xfId="0" applyBorder="1">
      <alignment vertical="center"/>
    </xf>
    <xf numFmtId="182" fontId="0" fillId="0" borderId="8" xfId="0" applyNumberFormat="1" applyBorder="1">
      <alignment vertical="center"/>
    </xf>
    <xf numFmtId="0" fontId="0" fillId="0" borderId="9" xfId="0" applyBorder="1" applyAlignment="1">
      <alignment horizontal="right" vertical="center"/>
    </xf>
    <xf numFmtId="182" fontId="0" fillId="0" borderId="10" xfId="0" applyNumberFormat="1" applyBorder="1">
      <alignment vertical="center"/>
    </xf>
    <xf numFmtId="182" fontId="0" fillId="0" borderId="11" xfId="0" applyNumberFormat="1" applyBorder="1">
      <alignment vertical="center"/>
    </xf>
    <xf numFmtId="181" fontId="0" fillId="0" borderId="1" xfId="0" applyNumberFormat="1" applyBorder="1">
      <alignment vertical="center"/>
    </xf>
    <xf numFmtId="181" fontId="0" fillId="0" borderId="0" xfId="0" applyNumberFormat="1" applyBorder="1">
      <alignment vertical="center"/>
    </xf>
    <xf numFmtId="181" fontId="0" fillId="0" borderId="10" xfId="0" applyNumberFormat="1" applyBorder="1">
      <alignment vertical="center"/>
    </xf>
    <xf numFmtId="180" fontId="0" fillId="0" borderId="0" xfId="0" applyNumberFormat="1" applyBorder="1">
      <alignment vertical="center"/>
    </xf>
    <xf numFmtId="180" fontId="0" fillId="0" borderId="1" xfId="0" applyNumberFormat="1" applyBorder="1">
      <alignment vertical="center"/>
    </xf>
    <xf numFmtId="180" fontId="0" fillId="0" borderId="10" xfId="0" applyNumberFormat="1" applyBorder="1">
      <alignment vertical="center"/>
    </xf>
    <xf numFmtId="14" fontId="0" fillId="0" borderId="0" xfId="0" applyNumberFormat="1">
      <alignment vertical="center"/>
    </xf>
    <xf numFmtId="18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9" xfId="0" applyBorder="1">
      <alignment vertical="center"/>
    </xf>
    <xf numFmtId="180" fontId="0" fillId="0" borderId="11" xfId="0" applyNumberFormat="1" applyBorder="1">
      <alignment vertical="center"/>
    </xf>
    <xf numFmtId="180" fontId="0" fillId="0" borderId="6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本数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Sheet1!$D$2:$D$7</c:f>
              <c:strCache>
                <c:ptCount val="6"/>
                <c:pt idx="0">
                  <c:v>2025年05月</c:v>
                </c:pt>
                <c:pt idx="1">
                  <c:v>2025年06月</c:v>
                </c:pt>
                <c:pt idx="2">
                  <c:v>2025年07月</c:v>
                </c:pt>
                <c:pt idx="3">
                  <c:v>2025年08月</c:v>
                </c:pt>
                <c:pt idx="4">
                  <c:v>2025年09月</c:v>
                </c:pt>
                <c:pt idx="5">
                  <c:v>2025年10月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232</c:v>
                </c:pt>
                <c:pt idx="1">
                  <c:v>522</c:v>
                </c:pt>
                <c:pt idx="2">
                  <c:v>521</c:v>
                </c:pt>
                <c:pt idx="3">
                  <c:v>434</c:v>
                </c:pt>
                <c:pt idx="4">
                  <c:v>342</c:v>
                </c:pt>
                <c:pt idx="5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B-5B4F-ADE9-79D5C223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471310496"/>
        <c:axId val="31201664"/>
      </c:barChart>
      <c:catAx>
        <c:axId val="47131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期間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201664"/>
        <c:crosses val="autoZero"/>
        <c:auto val="1"/>
        <c:lblAlgn val="ctr"/>
        <c:lblOffset val="100"/>
        <c:noMultiLvlLbl val="0"/>
      </c:catAx>
      <c:valAx>
        <c:axId val="312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600"/>
                  <a:t>本数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131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Sheet2!$A$2:$A$5</c:f>
              <c:numCache>
                <c:formatCode>General</c:formatCode>
                <c:ptCount val="4"/>
                <c:pt idx="0">
                  <c:v>1</c:v>
                </c:pt>
                <c:pt idx="1">
                  <c:v>0.1</c:v>
                </c:pt>
                <c:pt idx="2">
                  <c:v>0.01</c:v>
                </c:pt>
                <c:pt idx="3">
                  <c:v>1E-3</c:v>
                </c:pt>
              </c:numCache>
            </c:numRef>
          </c:cat>
          <c:val>
            <c:numRef>
              <c:f>Sheet2!$B$2:$B$5</c:f>
              <c:numCache>
                <c:formatCode>General</c:formatCode>
                <c:ptCount val="4"/>
                <c:pt idx="0">
                  <c:v>1</c:v>
                </c:pt>
                <c:pt idx="1">
                  <c:v>0.10000000000000002</c:v>
                </c:pt>
                <c:pt idx="2">
                  <c:v>0.01</c:v>
                </c:pt>
                <c:pt idx="3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B-A745-AFD6-CB99F639818B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Sheet2!$A$2:$A$5</c:f>
              <c:numCache>
                <c:formatCode>General</c:formatCode>
                <c:ptCount val="4"/>
                <c:pt idx="0">
                  <c:v>1</c:v>
                </c:pt>
                <c:pt idx="1">
                  <c:v>0.1</c:v>
                </c:pt>
                <c:pt idx="2">
                  <c:v>0.01</c:v>
                </c:pt>
                <c:pt idx="3">
                  <c:v>1E-3</c:v>
                </c:pt>
              </c:numCache>
            </c:numRef>
          </c:cat>
          <c:val>
            <c:numRef>
              <c:f>Sheet2!$C$2:$C$5</c:f>
              <c:numCache>
                <c:formatCode>General</c:formatCode>
                <c:ptCount val="4"/>
                <c:pt idx="0">
                  <c:v>5</c:v>
                </c:pt>
                <c:pt idx="1">
                  <c:v>4.1000000000000014</c:v>
                </c:pt>
                <c:pt idx="2">
                  <c:v>4.0099999999998914</c:v>
                </c:pt>
                <c:pt idx="3">
                  <c:v>4.0009999999996992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B-A745-AFD6-CB99F639818B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Sheet2!$A$2:$A$5</c:f>
              <c:numCache>
                <c:formatCode>General</c:formatCode>
                <c:ptCount val="4"/>
                <c:pt idx="0">
                  <c:v>1</c:v>
                </c:pt>
                <c:pt idx="1">
                  <c:v>0.1</c:v>
                </c:pt>
                <c:pt idx="2">
                  <c:v>0.01</c:v>
                </c:pt>
                <c:pt idx="3">
                  <c:v>1E-3</c:v>
                </c:pt>
              </c:numCache>
            </c:numRef>
          </c:cat>
          <c:val>
            <c:numRef>
              <c:f>Sheet2!$D$2:$D$5</c:f>
              <c:numCache>
                <c:formatCode>General</c:formatCode>
                <c:ptCount val="4"/>
                <c:pt idx="0">
                  <c:v>7</c:v>
                </c:pt>
                <c:pt idx="1">
                  <c:v>6.1000000000000121</c:v>
                </c:pt>
                <c:pt idx="2">
                  <c:v>6.0099999999998488</c:v>
                </c:pt>
                <c:pt idx="3">
                  <c:v>6.000999999999479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3B-A745-AFD6-CB99F6398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802960"/>
        <c:axId val="678804672"/>
      </c:lineChart>
      <c:catAx>
        <c:axId val="6788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8804672"/>
        <c:crosses val="autoZero"/>
        <c:auto val="1"/>
        <c:lblAlgn val="ctr"/>
        <c:lblOffset val="100"/>
        <c:noMultiLvlLbl val="0"/>
      </c:catAx>
      <c:valAx>
        <c:axId val="6788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88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1</xdr:row>
      <xdr:rowOff>76200</xdr:rowOff>
    </xdr:from>
    <xdr:to>
      <xdr:col>15</xdr:col>
      <xdr:colOff>508000</xdr:colOff>
      <xdr:row>19</xdr:row>
      <xdr:rowOff>215900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4355A94-AEA4-F6D6-F895-443B46221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5</xdr:row>
      <xdr:rowOff>241300</xdr:rowOff>
    </xdr:from>
    <xdr:to>
      <xdr:col>4</xdr:col>
      <xdr:colOff>927100</xdr:colOff>
      <xdr:row>22</xdr:row>
      <xdr:rowOff>12700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B1B05FA-1A59-C370-BF78-8752BEF78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DAE1-E3B5-6C48-BC34-E31AF8F4BAA2}">
  <dimension ref="A1:H238"/>
  <sheetViews>
    <sheetView workbookViewId="0">
      <selection activeCell="H3" sqref="H3:H13"/>
    </sheetView>
  </sheetViews>
  <sheetFormatPr baseColWidth="10" defaultRowHeight="20"/>
  <cols>
    <col min="2" max="2" width="4.7109375" bestFit="1" customWidth="1"/>
    <col min="4" max="4" width="10.85546875" bestFit="1" customWidth="1"/>
    <col min="5" max="5" width="5.140625" bestFit="1" customWidth="1"/>
  </cols>
  <sheetData>
    <row r="1" spans="1:8">
      <c r="A1" t="s">
        <v>12</v>
      </c>
      <c r="B1" t="s">
        <v>13</v>
      </c>
      <c r="E1" t="s">
        <v>13</v>
      </c>
      <c r="F1" s="3" t="s">
        <v>15</v>
      </c>
      <c r="G1" s="3" t="s">
        <v>17</v>
      </c>
    </row>
    <row r="2" spans="1:8">
      <c r="A2" s="1" t="s">
        <v>0</v>
      </c>
      <c r="B2" s="2">
        <v>286.82</v>
      </c>
      <c r="D2" s="1" t="s">
        <v>0</v>
      </c>
      <c r="E2">
        <v>232</v>
      </c>
      <c r="F2" s="3" t="s">
        <v>16</v>
      </c>
      <c r="G2" s="3" t="s">
        <v>16</v>
      </c>
    </row>
    <row r="3" spans="1:8">
      <c r="A3" s="1" t="s">
        <v>1</v>
      </c>
      <c r="B3" s="2">
        <v>360.8</v>
      </c>
      <c r="D3" s="1" t="s">
        <v>1</v>
      </c>
      <c r="E3">
        <v>522</v>
      </c>
      <c r="F3" s="24">
        <f>E3/E2 * 100</f>
        <v>225</v>
      </c>
      <c r="G3" s="23">
        <f>F3/100</f>
        <v>2.25</v>
      </c>
      <c r="H3">
        <f>E2*G3</f>
        <v>522</v>
      </c>
    </row>
    <row r="4" spans="1:8">
      <c r="A4" s="1" t="s">
        <v>2</v>
      </c>
      <c r="B4" s="2">
        <v>527.52</v>
      </c>
      <c r="D4" s="1" t="s">
        <v>2</v>
      </c>
      <c r="E4">
        <v>521</v>
      </c>
      <c r="F4" s="24">
        <f t="shared" ref="F4:F13" si="0">E4/E3 * 100</f>
        <v>99.808429118773944</v>
      </c>
      <c r="G4" s="23">
        <f t="shared" ref="G4:G13" si="1">F4/100</f>
        <v>0.99808429118773945</v>
      </c>
      <c r="H4">
        <f t="shared" ref="H4:H13" si="2">E3*G4</f>
        <v>521</v>
      </c>
    </row>
    <row r="5" spans="1:8">
      <c r="A5" s="1" t="s">
        <v>3</v>
      </c>
      <c r="B5" s="2">
        <v>443.73</v>
      </c>
      <c r="D5" s="1" t="s">
        <v>3</v>
      </c>
      <c r="E5">
        <v>434</v>
      </c>
      <c r="F5" s="24">
        <f t="shared" si="0"/>
        <v>83.301343570057583</v>
      </c>
      <c r="G5" s="23">
        <f t="shared" si="1"/>
        <v>0.83301343570057584</v>
      </c>
      <c r="H5">
        <f t="shared" si="2"/>
        <v>434</v>
      </c>
    </row>
    <row r="6" spans="1:8">
      <c r="A6" s="1" t="s">
        <v>4</v>
      </c>
      <c r="B6" s="2">
        <v>276.38</v>
      </c>
      <c r="D6" s="1" t="s">
        <v>4</v>
      </c>
      <c r="E6">
        <v>342</v>
      </c>
      <c r="F6" s="24">
        <f t="shared" si="0"/>
        <v>78.801843317972356</v>
      </c>
      <c r="G6" s="23">
        <f t="shared" si="1"/>
        <v>0.78801843317972353</v>
      </c>
      <c r="H6">
        <f t="shared" si="2"/>
        <v>342</v>
      </c>
    </row>
    <row r="7" spans="1:8">
      <c r="A7" s="1" t="s">
        <v>5</v>
      </c>
      <c r="B7" s="2">
        <v>153.88</v>
      </c>
      <c r="D7" s="1" t="s">
        <v>5</v>
      </c>
      <c r="E7">
        <v>156</v>
      </c>
      <c r="F7" s="24">
        <f t="shared" si="0"/>
        <v>45.614035087719294</v>
      </c>
      <c r="G7" s="23">
        <f t="shared" si="1"/>
        <v>0.45614035087719296</v>
      </c>
      <c r="H7">
        <f t="shared" si="2"/>
        <v>156</v>
      </c>
    </row>
    <row r="8" spans="1:8">
      <c r="A8" s="1" t="s">
        <v>6</v>
      </c>
      <c r="B8" s="2">
        <v>133.94999999999999</v>
      </c>
      <c r="D8" s="1" t="s">
        <v>6</v>
      </c>
      <c r="E8">
        <v>155</v>
      </c>
      <c r="F8" s="24">
        <f t="shared" si="0"/>
        <v>99.358974358974365</v>
      </c>
      <c r="G8" s="23">
        <f t="shared" si="1"/>
        <v>0.99358974358974361</v>
      </c>
      <c r="H8">
        <f t="shared" si="2"/>
        <v>155</v>
      </c>
    </row>
    <row r="9" spans="1:8">
      <c r="A9" s="1" t="s">
        <v>7</v>
      </c>
      <c r="B9" s="2">
        <v>119.17</v>
      </c>
      <c r="D9" s="1" t="s">
        <v>7</v>
      </c>
      <c r="E9">
        <v>169</v>
      </c>
      <c r="F9" s="24">
        <f t="shared" si="0"/>
        <v>109.03225806451613</v>
      </c>
      <c r="G9" s="23">
        <f t="shared" si="1"/>
        <v>1.0903225806451613</v>
      </c>
      <c r="H9">
        <f t="shared" si="2"/>
        <v>169</v>
      </c>
    </row>
    <row r="10" spans="1:8">
      <c r="A10" s="1" t="s">
        <v>8</v>
      </c>
      <c r="B10" s="2">
        <v>115.53</v>
      </c>
      <c r="D10" s="1" t="s">
        <v>8</v>
      </c>
      <c r="E10">
        <v>130</v>
      </c>
      <c r="F10" s="24">
        <f t="shared" si="0"/>
        <v>76.923076923076934</v>
      </c>
      <c r="G10" s="23">
        <f t="shared" si="1"/>
        <v>0.76923076923076938</v>
      </c>
      <c r="H10">
        <f t="shared" si="2"/>
        <v>130.00000000000003</v>
      </c>
    </row>
    <row r="11" spans="1:8">
      <c r="A11" s="1" t="s">
        <v>9</v>
      </c>
      <c r="B11" s="2">
        <v>120.63</v>
      </c>
      <c r="D11" s="1" t="s">
        <v>9</v>
      </c>
      <c r="E11">
        <v>151</v>
      </c>
      <c r="F11" s="24">
        <f t="shared" si="0"/>
        <v>116.15384615384616</v>
      </c>
      <c r="G11" s="23">
        <f t="shared" si="1"/>
        <v>1.1615384615384616</v>
      </c>
      <c r="H11">
        <f t="shared" si="2"/>
        <v>151</v>
      </c>
    </row>
    <row r="12" spans="1:8">
      <c r="A12" s="1" t="s">
        <v>10</v>
      </c>
      <c r="B12" s="2">
        <v>120.12</v>
      </c>
      <c r="D12" s="1" t="s">
        <v>10</v>
      </c>
      <c r="E12">
        <v>164</v>
      </c>
      <c r="F12" s="24">
        <f t="shared" si="0"/>
        <v>108.6092715231788</v>
      </c>
      <c r="G12" s="23">
        <f t="shared" si="1"/>
        <v>1.0860927152317881</v>
      </c>
      <c r="H12">
        <f t="shared" si="2"/>
        <v>164</v>
      </c>
    </row>
    <row r="13" spans="1:8">
      <c r="A13" s="1" t="s">
        <v>11</v>
      </c>
      <c r="B13" s="2">
        <v>150.87</v>
      </c>
      <c r="D13" s="1" t="s">
        <v>11</v>
      </c>
      <c r="E13">
        <v>170</v>
      </c>
      <c r="F13" s="24">
        <f t="shared" si="0"/>
        <v>103.65853658536585</v>
      </c>
      <c r="G13" s="23">
        <f t="shared" si="1"/>
        <v>1.0365853658536586</v>
      </c>
      <c r="H13">
        <f t="shared" si="2"/>
        <v>170</v>
      </c>
    </row>
    <row r="14" spans="1:8">
      <c r="A14" s="1"/>
      <c r="B14" s="1"/>
      <c r="D14" s="22"/>
    </row>
    <row r="15" spans="1:8">
      <c r="A15" s="1"/>
      <c r="B15" s="1"/>
    </row>
    <row r="16" spans="1:8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2974-A292-4F4F-B88C-1DA171CA63F1}">
  <dimension ref="A1:I11"/>
  <sheetViews>
    <sheetView workbookViewId="0">
      <selection activeCell="H12" sqref="H12"/>
    </sheetView>
  </sheetViews>
  <sheetFormatPr baseColWidth="10" defaultRowHeight="20"/>
  <sheetData>
    <row r="1" spans="1:9">
      <c r="B1">
        <v>0</v>
      </c>
      <c r="C1">
        <v>2</v>
      </c>
      <c r="D1">
        <v>3</v>
      </c>
      <c r="G1">
        <v>0</v>
      </c>
      <c r="H1">
        <v>2</v>
      </c>
      <c r="I1">
        <v>3</v>
      </c>
    </row>
    <row r="2" spans="1:9">
      <c r="A2">
        <v>1</v>
      </c>
      <c r="B2">
        <f>((B$1+$A2)^2 - B$1^2)/$A2</f>
        <v>1</v>
      </c>
      <c r="C2">
        <f t="shared" ref="C2:D2" si="0">((C$1+$A2)^2 - C$1^2)/$A2</f>
        <v>5</v>
      </c>
      <c r="D2">
        <f t="shared" si="0"/>
        <v>7</v>
      </c>
      <c r="F2">
        <v>1</v>
      </c>
      <c r="G2">
        <f>(G$1+$A2)^2</f>
        <v>1</v>
      </c>
      <c r="H2">
        <f t="shared" ref="H2:I5" si="1">(H$1+$A2)^2</f>
        <v>9</v>
      </c>
      <c r="I2">
        <f t="shared" si="1"/>
        <v>16</v>
      </c>
    </row>
    <row r="3" spans="1:9">
      <c r="A3">
        <v>0.1</v>
      </c>
      <c r="B3">
        <f t="shared" ref="B3:D5" si="2">((B$1+$A3)^2 - B$1^2)/$A3</f>
        <v>0.10000000000000002</v>
      </c>
      <c r="C3">
        <f t="shared" si="2"/>
        <v>4.1000000000000014</v>
      </c>
      <c r="D3">
        <f t="shared" si="2"/>
        <v>6.1000000000000121</v>
      </c>
      <c r="F3">
        <v>0.1</v>
      </c>
      <c r="G3">
        <f t="shared" ref="G3:G5" si="3">(G$1+$A3)^2</f>
        <v>1.0000000000000002E-2</v>
      </c>
      <c r="H3">
        <f t="shared" si="1"/>
        <v>4.41</v>
      </c>
      <c r="I3">
        <f t="shared" si="1"/>
        <v>9.6100000000000012</v>
      </c>
    </row>
    <row r="4" spans="1:9">
      <c r="A4">
        <v>0.01</v>
      </c>
      <c r="B4">
        <f t="shared" si="2"/>
        <v>0.01</v>
      </c>
      <c r="C4">
        <f t="shared" si="2"/>
        <v>4.0099999999998914</v>
      </c>
      <c r="D4">
        <f t="shared" si="2"/>
        <v>6.0099999999998488</v>
      </c>
      <c r="F4">
        <v>0.01</v>
      </c>
      <c r="G4">
        <f t="shared" si="3"/>
        <v>1E-4</v>
      </c>
      <c r="H4">
        <f>(H$1+$A4)^2</f>
        <v>4.0400999999999989</v>
      </c>
      <c r="I4">
        <f t="shared" si="1"/>
        <v>9.0600999999999985</v>
      </c>
    </row>
    <row r="5" spans="1:9">
      <c r="A5">
        <v>1E-3</v>
      </c>
      <c r="B5">
        <f t="shared" si="2"/>
        <v>1E-3</v>
      </c>
      <c r="C5">
        <f t="shared" si="2"/>
        <v>4.0009999999996992</v>
      </c>
      <c r="D5">
        <f t="shared" si="2"/>
        <v>6.000999999999479</v>
      </c>
      <c r="F5">
        <v>1E-3</v>
      </c>
      <c r="G5">
        <f>(G$1+$A5)^2</f>
        <v>9.9999999999999995E-7</v>
      </c>
      <c r="H5">
        <f t="shared" si="1"/>
        <v>4.0040009999999997</v>
      </c>
      <c r="I5">
        <f t="shared" si="1"/>
        <v>9.0060009999999995</v>
      </c>
    </row>
    <row r="11" spans="1:9">
      <c r="H11">
        <f>(2.01^2-2^2)/0.01</f>
        <v>4.0099999999998914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2D48-CAEB-5D44-8524-A8BE32F52BE6}">
  <dimension ref="A1:E11"/>
  <sheetViews>
    <sheetView workbookViewId="0">
      <selection sqref="A1:E11"/>
    </sheetView>
  </sheetViews>
  <sheetFormatPr baseColWidth="10" defaultRowHeight="20"/>
  <cols>
    <col min="1" max="1" width="9.7109375" bestFit="1" customWidth="1"/>
  </cols>
  <sheetData>
    <row r="1" spans="1:5">
      <c r="A1" s="5"/>
      <c r="B1" s="6">
        <v>2</v>
      </c>
      <c r="C1" s="6">
        <f>EXP(1)</f>
        <v>2.7182818284590451</v>
      </c>
      <c r="D1" s="6">
        <v>100</v>
      </c>
      <c r="E1" s="7">
        <v>1000</v>
      </c>
    </row>
    <row r="2" spans="1:5">
      <c r="A2" s="8">
        <v>0.01</v>
      </c>
      <c r="B2" s="19">
        <f>(B$1^$A2-1)/$A2</f>
        <v>0.69555500567188844</v>
      </c>
      <c r="C2" s="17">
        <f>(C$1^$A2-1)/$A2</f>
        <v>1.0050167084167949</v>
      </c>
      <c r="D2" s="9">
        <f>(D$1^$A2-1)/$A2</f>
        <v>4.712854805089961</v>
      </c>
      <c r="E2" s="10">
        <f>(E$1^$A2-1)/$A2</f>
        <v>7.1519305237606412</v>
      </c>
    </row>
    <row r="3" spans="1:5">
      <c r="A3" s="8">
        <v>1E-3</v>
      </c>
      <c r="B3" s="19">
        <f>(B$1^$A3-1)/$A3</f>
        <v>0.69338746258074124</v>
      </c>
      <c r="C3" s="17">
        <f>(C$1^$A3-1)/$A3</f>
        <v>1.0005001667083846</v>
      </c>
      <c r="D3" s="9">
        <f>(D$1^$A3-1)/$A3</f>
        <v>4.6157902783952043</v>
      </c>
      <c r="E3" s="10">
        <f>(E$1^$A3-1)/$A3</f>
        <v>6.9316688518041847</v>
      </c>
    </row>
    <row r="4" spans="1:5">
      <c r="A4" s="8">
        <v>1E-4</v>
      </c>
      <c r="B4" s="19">
        <f>(B$1^$A4-1)/$A4</f>
        <v>0.6931712037649973</v>
      </c>
      <c r="C4" s="17">
        <f>(C$1^$A4-1)/$A4</f>
        <v>1.000050001667141</v>
      </c>
      <c r="D4" s="9">
        <f>(D$1^$A4-1)/$A4</f>
        <v>4.6062307284033821</v>
      </c>
      <c r="E4" s="10">
        <f>(E$1^$A4-1)/$A4</f>
        <v>6.9101416825900763</v>
      </c>
    </row>
    <row r="5" spans="1:5" ht="21" thickBot="1">
      <c r="A5" s="11">
        <v>9.9999999999999995E-7</v>
      </c>
      <c r="B5" s="20">
        <f>(B$1^$A5-1)/$A5</f>
        <v>0.69314742079384928</v>
      </c>
      <c r="C5" s="16">
        <f>(C$1^$A5-1)/$A5</f>
        <v>1.0000004999621837</v>
      </c>
      <c r="D5" s="4">
        <f>(D$1^$A5-1)/$A5</f>
        <v>4.6051807898184194</v>
      </c>
      <c r="E5" s="12">
        <f>(E$1^$A5-1)/$A5</f>
        <v>6.9077791375882214</v>
      </c>
    </row>
    <row r="6" spans="1:5" ht="22" thickTop="1" thickBot="1">
      <c r="A6" s="13" t="s">
        <v>14</v>
      </c>
      <c r="B6" s="21">
        <f>LN(B1)</f>
        <v>0.69314718055994529</v>
      </c>
      <c r="C6" s="18">
        <f t="shared" ref="C6:E6" si="0">LN(C1)</f>
        <v>1</v>
      </c>
      <c r="D6" s="14">
        <f t="shared" si="0"/>
        <v>4.6051701859880918</v>
      </c>
      <c r="E6" s="15">
        <f t="shared" si="0"/>
        <v>6.9077552789821368</v>
      </c>
    </row>
    <row r="9" spans="1:5" ht="21" thickBot="1"/>
    <row r="10" spans="1:5">
      <c r="A10" s="5"/>
      <c r="B10" s="6">
        <v>2</v>
      </c>
      <c r="C10" s="6">
        <f>EXP(1)</f>
        <v>2.7182818284590451</v>
      </c>
      <c r="D10" s="6">
        <v>100</v>
      </c>
      <c r="E10" s="7">
        <v>1000</v>
      </c>
    </row>
    <row r="11" spans="1:5" ht="21" thickBot="1">
      <c r="A11" s="25" t="s">
        <v>18</v>
      </c>
      <c r="B11" s="21">
        <v>0.69314718055994529</v>
      </c>
      <c r="C11" s="21">
        <v>1</v>
      </c>
      <c r="D11" s="14">
        <v>4.6051701859880918</v>
      </c>
      <c r="E11" s="15">
        <v>6.9077552789821368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C25B-315A-D54B-9FB0-5EDD9C81BD25}">
  <dimension ref="A1:E10"/>
  <sheetViews>
    <sheetView tabSelected="1" workbookViewId="0">
      <selection activeCell="I20" sqref="I20"/>
    </sheetView>
  </sheetViews>
  <sheetFormatPr baseColWidth="10" defaultRowHeight="20"/>
  <sheetData>
    <row r="1" spans="1:5">
      <c r="A1" s="5"/>
      <c r="B1" s="6">
        <v>2</v>
      </c>
      <c r="C1" s="6">
        <f>EXP(1)</f>
        <v>2.7182818284590451</v>
      </c>
      <c r="D1" s="6">
        <v>100</v>
      </c>
      <c r="E1" s="7">
        <v>1000</v>
      </c>
    </row>
    <row r="2" spans="1:5">
      <c r="A2" s="8">
        <v>0.01</v>
      </c>
      <c r="B2" s="19">
        <f>LOG(1+$A2, B$1)/$A2</f>
        <v>1.4355292977070055</v>
      </c>
      <c r="C2" s="19">
        <f>LOG(1+$A2, C$1)/$A2</f>
        <v>0.99503308531680923</v>
      </c>
      <c r="D2" s="19">
        <f>LOG(1+$A2, D$1)/$A2</f>
        <v>0.2160686891321289</v>
      </c>
      <c r="E2" s="27">
        <f>LOG(1+$A2, E$1)/$A2</f>
        <v>0.14404579275475263</v>
      </c>
    </row>
    <row r="3" spans="1:5">
      <c r="A3" s="8">
        <v>1E-3</v>
      </c>
      <c r="B3" s="19">
        <f t="shared" ref="B3:E5" si="0">LOG(1+$A3, B$1)/$A3</f>
        <v>1.4419741739063219</v>
      </c>
      <c r="C3" s="19">
        <f t="shared" si="0"/>
        <v>0.99950033308342323</v>
      </c>
      <c r="D3" s="19">
        <f t="shared" si="0"/>
        <v>0.21703873965929643</v>
      </c>
      <c r="E3" s="27">
        <f t="shared" si="0"/>
        <v>0.14469249310619764</v>
      </c>
    </row>
    <row r="4" spans="1:5">
      <c r="A4" s="8">
        <v>1E-4</v>
      </c>
      <c r="B4" s="19">
        <f t="shared" si="0"/>
        <v>1.442622910945383</v>
      </c>
      <c r="C4" s="19">
        <f t="shared" si="0"/>
        <v>0.99995000333297313</v>
      </c>
      <c r="D4" s="19">
        <f t="shared" si="0"/>
        <v>0.21713638431332424</v>
      </c>
      <c r="E4" s="27">
        <f t="shared" si="0"/>
        <v>0.14475758954221618</v>
      </c>
    </row>
    <row r="5" spans="1:5" ht="21" thickBot="1">
      <c r="A5" s="25">
        <v>9.9999999999999995E-7</v>
      </c>
      <c r="B5" s="21">
        <f t="shared" si="0"/>
        <v>1.4426943194232382</v>
      </c>
      <c r="C5" s="21">
        <f t="shared" si="0"/>
        <v>0.9999994999180668</v>
      </c>
      <c r="D5" s="21">
        <f t="shared" si="0"/>
        <v>0.21714713236021385</v>
      </c>
      <c r="E5" s="26">
        <f>LOG(1+$A5, E$1)/$A5</f>
        <v>0.14476475490680926</v>
      </c>
    </row>
    <row r="8" spans="1:5" ht="21" thickBot="1"/>
    <row r="9" spans="1:5">
      <c r="A9" s="5"/>
      <c r="B9" s="6">
        <v>2</v>
      </c>
      <c r="C9" s="6">
        <f>EXP(1)</f>
        <v>2.7182818284590451</v>
      </c>
      <c r="D9" s="6">
        <v>100</v>
      </c>
      <c r="E9" s="7">
        <v>1000</v>
      </c>
    </row>
    <row r="10" spans="1:5" ht="21" thickBot="1">
      <c r="A10" s="25" t="s">
        <v>19</v>
      </c>
      <c r="B10" s="21">
        <v>1.4426950408889634</v>
      </c>
      <c r="C10" s="21">
        <v>1</v>
      </c>
      <c r="D10" s="21">
        <v>0.21714724095162588</v>
      </c>
      <c r="E10" s="26">
        <v>0.14476482730108395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指数関数の瞬間変化率</vt:lpstr>
      <vt:lpstr>対数関数の瞬間変化率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Tamura Ryuichi</dc:creator>
  <cp:lastModifiedBy>Tamura Ryuichi</cp:lastModifiedBy>
  <dcterms:created xsi:type="dcterms:W3CDTF">2026-05-23T07:05:31Z</dcterms:created>
  <dcterms:modified xsi:type="dcterms:W3CDTF">2026-05-25T09:14:40Z</dcterms:modified>
</cp:coreProperties>
</file>