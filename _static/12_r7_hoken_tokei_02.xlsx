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tam/Dropbox/Toyo/calculus/_static/"/>
    </mc:Choice>
  </mc:AlternateContent>
  <xr:revisionPtr revIDLastSave="0" documentId="13_ncr:1_{7F20793C-A8A9-344B-8BCF-8C728CC109F3}" xr6:coauthVersionLast="47" xr6:coauthVersionMax="47" xr10:uidLastSave="{00000000-0000-0000-0000-000000000000}"/>
  <bookViews>
    <workbookView xWindow="3020" yWindow="600" windowWidth="29040" windowHeight="15720" activeTab="1" xr2:uid="{00000000-000D-0000-FFFF-FFFF00000000}"/>
  </bookViews>
  <sheets>
    <sheet name="02-001" sheetId="3" r:id="rId1"/>
    <sheet name="Sheet1" sheetId="5" r:id="rId2"/>
    <sheet name="Sheet2" sheetId="7" r:id="rId3"/>
    <sheet name="height17_R7" sheetId="6" r:id="rId4"/>
    <sheet name="02-002" sheetId="4" r:id="rId5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5" l="1"/>
  <c r="F30" i="5"/>
  <c r="F29" i="5"/>
  <c r="C29" i="5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7" i="3"/>
</calcChain>
</file>

<file path=xl/sharedStrings.xml><?xml version="1.0" encoding="utf-8"?>
<sst xmlns="http://schemas.openxmlformats.org/spreadsheetml/2006/main" count="1124" uniqueCount="144">
  <si>
    <t>2 身長の年齢別分布（2－1）</t>
  </si>
  <si>
    <t>1 男</t>
  </si>
  <si>
    <t>（‰）</t>
  </si>
  <si>
    <t>区分</t>
  </si>
  <si>
    <t>幼稚園</t>
  </si>
  <si>
    <t>小学校</t>
  </si>
  <si>
    <t>中学校</t>
  </si>
  <si>
    <t>高等学校</t>
  </si>
  <si>
    <t>5歳</t>
  </si>
  <si>
    <t>6歳</t>
  </si>
  <si>
    <t>7歳</t>
  </si>
  <si>
    <t>8歳</t>
  </si>
  <si>
    <t>9歳</t>
  </si>
  <si>
    <t>10歳</t>
  </si>
  <si>
    <t>11歳</t>
  </si>
  <si>
    <t>12歳</t>
  </si>
  <si>
    <t>13歳</t>
  </si>
  <si>
    <t>14歳</t>
  </si>
  <si>
    <t>15歳</t>
  </si>
  <si>
    <t>16歳</t>
  </si>
  <si>
    <t>17歳</t>
  </si>
  <si>
    <t>計</t>
  </si>
  <si>
    <t>～90cm</t>
  </si>
  <si>
    <t>91cm</t>
  </si>
  <si>
    <t>92cm</t>
  </si>
  <si>
    <t>93cm</t>
  </si>
  <si>
    <t>94cm</t>
  </si>
  <si>
    <t>95cm</t>
  </si>
  <si>
    <t>96cm</t>
  </si>
  <si>
    <t>97cm</t>
  </si>
  <si>
    <t>98cm</t>
  </si>
  <si>
    <t>99cm</t>
  </si>
  <si>
    <t>100cm</t>
  </si>
  <si>
    <t>101cm</t>
  </si>
  <si>
    <t>102cm</t>
  </si>
  <si>
    <t>103cm</t>
  </si>
  <si>
    <t>104cm</t>
  </si>
  <si>
    <t>105cm</t>
  </si>
  <si>
    <t>106cm</t>
  </si>
  <si>
    <t>107cm</t>
  </si>
  <si>
    <t>108cm</t>
  </si>
  <si>
    <t>109cm</t>
  </si>
  <si>
    <t>110cm</t>
  </si>
  <si>
    <t>111cm</t>
  </si>
  <si>
    <t>112cm</t>
  </si>
  <si>
    <t>113cm</t>
  </si>
  <si>
    <t>114cm</t>
  </si>
  <si>
    <t>115cm</t>
  </si>
  <si>
    <t>116cm</t>
  </si>
  <si>
    <t>117cm</t>
  </si>
  <si>
    <t>118cm</t>
  </si>
  <si>
    <t>119cm</t>
  </si>
  <si>
    <t>120cm</t>
  </si>
  <si>
    <t>121cm</t>
  </si>
  <si>
    <t>122cm</t>
  </si>
  <si>
    <t>123cm</t>
  </si>
  <si>
    <t>124cm</t>
  </si>
  <si>
    <t>125cm</t>
  </si>
  <si>
    <t>126cm</t>
  </si>
  <si>
    <t>127cm</t>
  </si>
  <si>
    <t>128cm</t>
  </si>
  <si>
    <t>129cm</t>
  </si>
  <si>
    <t>130cm</t>
  </si>
  <si>
    <t>131cm</t>
  </si>
  <si>
    <t>132cm</t>
  </si>
  <si>
    <t>133cm</t>
  </si>
  <si>
    <t>134cm</t>
  </si>
  <si>
    <t>135cm</t>
  </si>
  <si>
    <t>136cm</t>
  </si>
  <si>
    <t>137cm</t>
  </si>
  <si>
    <t>138cm</t>
  </si>
  <si>
    <t>139cm</t>
  </si>
  <si>
    <t>140cm</t>
  </si>
  <si>
    <t>141cm</t>
  </si>
  <si>
    <t>142cm</t>
  </si>
  <si>
    <t>143cm</t>
  </si>
  <si>
    <t>144cm</t>
  </si>
  <si>
    <t>145cm</t>
  </si>
  <si>
    <t>146cm</t>
  </si>
  <si>
    <t>147cm</t>
  </si>
  <si>
    <t>148cm</t>
  </si>
  <si>
    <t>149cm</t>
  </si>
  <si>
    <t>150cm</t>
  </si>
  <si>
    <t>151cm</t>
  </si>
  <si>
    <t>152cm</t>
  </si>
  <si>
    <t>153cm</t>
  </si>
  <si>
    <t>154cm</t>
  </si>
  <si>
    <t>155cm</t>
  </si>
  <si>
    <t>156cm</t>
  </si>
  <si>
    <t>157cm</t>
  </si>
  <si>
    <t>158cm</t>
  </si>
  <si>
    <t>159cm</t>
  </si>
  <si>
    <t>160cm</t>
  </si>
  <si>
    <t>161cm</t>
  </si>
  <si>
    <t>162cm</t>
  </si>
  <si>
    <t>163cm</t>
  </si>
  <si>
    <t>164cm</t>
  </si>
  <si>
    <t>165cm</t>
  </si>
  <si>
    <t>166cm</t>
  </si>
  <si>
    <t>167cm</t>
  </si>
  <si>
    <t>168cm</t>
  </si>
  <si>
    <t>169cm</t>
  </si>
  <si>
    <t>170cm</t>
  </si>
  <si>
    <t>171cm</t>
  </si>
  <si>
    <t>172cm</t>
  </si>
  <si>
    <t>173cm</t>
  </si>
  <si>
    <t>174cm</t>
  </si>
  <si>
    <t>175cm</t>
  </si>
  <si>
    <t>176cm</t>
  </si>
  <si>
    <t>177cm</t>
  </si>
  <si>
    <t>178cm</t>
  </si>
  <si>
    <t>179cm</t>
  </si>
  <si>
    <t>180cm</t>
  </si>
  <si>
    <t>181cm</t>
  </si>
  <si>
    <t>182cm</t>
  </si>
  <si>
    <t>183cm</t>
  </si>
  <si>
    <t>184cm</t>
  </si>
  <si>
    <t>185cm</t>
  </si>
  <si>
    <t>186cm</t>
  </si>
  <si>
    <t>187cm</t>
  </si>
  <si>
    <t>188cm</t>
  </si>
  <si>
    <t>189cm</t>
  </si>
  <si>
    <t>190cm</t>
  </si>
  <si>
    <t>191cm</t>
  </si>
  <si>
    <t>192cm</t>
  </si>
  <si>
    <t>193cm</t>
  </si>
  <si>
    <t>194cm</t>
  </si>
  <si>
    <t>195cm</t>
  </si>
  <si>
    <t>196cm</t>
  </si>
  <si>
    <t>197cm</t>
  </si>
  <si>
    <t>198cm</t>
  </si>
  <si>
    <t>199cm</t>
  </si>
  <si>
    <t>200cm～</t>
  </si>
  <si>
    <t>（注）　小数点以下第2位を四捨五入したため，計と内訳が一致しない場合がある。以下の各表において同じ。</t>
  </si>
  <si>
    <t>2 身長の年齢別分布（2－2）</t>
  </si>
  <si>
    <t>2 女</t>
  </si>
  <si>
    <t>-</t>
  </si>
  <si>
    <t>身長</t>
    <rPh sb="0" eb="2">
      <t xml:space="preserve">シンチョウ </t>
    </rPh>
    <phoneticPr fontId="3"/>
  </si>
  <si>
    <t>比率</t>
    <rPh sb="0" eb="2">
      <t xml:space="preserve">ヒリツ </t>
    </rPh>
    <phoneticPr fontId="3"/>
  </si>
  <si>
    <t>170cm</t>
    <phoneticPr fontId="3"/>
  </si>
  <si>
    <t>172cm</t>
    <phoneticPr fontId="3"/>
  </si>
  <si>
    <t>身長</t>
  </si>
  <si>
    <t>比率</t>
  </si>
  <si>
    <t>：　：　：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</si>
</sst>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;\-0.0;&quot;－&quot;"/>
    <numFmt numFmtId="177" formatCode="0.0"/>
  </numFmts>
  <fonts count="15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0"/>
      <name val="ＭＳ ゴシック"/>
      <family val="2"/>
      <charset val="128"/>
    </font>
    <font>
      <sz val="11"/>
      <color theme="1"/>
      <name val="Meiryo UI"/>
      <family val="2"/>
      <charset val="128"/>
    </font>
    <font>
      <sz val="1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right"/>
    </xf>
    <xf numFmtId="0" fontId="10" fillId="0" borderId="0" xfId="0" applyFont="1"/>
    <xf numFmtId="177" fontId="9" fillId="0" borderId="0" xfId="0" applyNumberFormat="1" applyFont="1" applyAlignment="1">
      <alignment horizontal="right"/>
    </xf>
    <xf numFmtId="177" fontId="0" fillId="0" borderId="0" xfId="0" applyNumberForma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3" fillId="0" borderId="1" xfId="0" applyFont="1" applyBorder="1"/>
    <xf numFmtId="0" fontId="13" fillId="0" borderId="2" xfId="0" applyFont="1" applyBorder="1" applyAlignment="1">
      <alignment horizontal="right"/>
    </xf>
    <xf numFmtId="0" fontId="14" fillId="0" borderId="3" xfId="0" applyFont="1" applyBorder="1" applyAlignment="1">
      <alignment horizontal="left" vertical="center"/>
    </xf>
    <xf numFmtId="0" fontId="13" fillId="0" borderId="4" xfId="0" applyFont="1" applyBorder="1"/>
    <xf numFmtId="0" fontId="14" fillId="0" borderId="5" xfId="0" applyFont="1" applyBorder="1" applyAlignment="1">
      <alignment horizontal="left" vertical="center"/>
    </xf>
    <xf numFmtId="0" fontId="13" fillId="0" borderId="6" xfId="0" applyFont="1" applyBorder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9" xfId="0" applyFont="1" applyBorder="1" applyAlignment="1">
      <alignment horizontal="left" vertical="center"/>
    </xf>
    <xf numFmtId="0" fontId="13" fillId="0" borderId="10" xfId="0" applyFont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17</a:t>
            </a:r>
            <a:r>
              <a:rPr lang="ja-JP" altLang="en-US"/>
              <a:t>歳男子の身長の分布</a:t>
            </a:r>
            <a:r>
              <a:rPr lang="en-US" altLang="ja-JP"/>
              <a:t>(</a:t>
            </a:r>
            <a:r>
              <a:rPr lang="ja-JP" altLang="en-US"/>
              <a:t>令和</a:t>
            </a:r>
            <a:r>
              <a:rPr lang="en-US" altLang="ja-JP"/>
              <a:t>7</a:t>
            </a:r>
            <a:r>
              <a:rPr lang="ja-JP" altLang="en-US"/>
              <a:t>年</a:t>
            </a:r>
            <a:r>
              <a:rPr lang="en-US" altLang="ja-JP"/>
              <a:t>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DB-6D4F-ADFA-478394AA2085}"/>
              </c:ext>
            </c:extLst>
          </c:dPt>
          <c:dPt>
            <c:idx val="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DB-6D4F-ADFA-478394AA2085}"/>
              </c:ext>
            </c:extLst>
          </c:dPt>
          <c:cat>
            <c:strRef>
              <c:f>Sheet1!$A$2:$A$54</c:f>
              <c:strCache>
                <c:ptCount val="53"/>
                <c:pt idx="0">
                  <c:v>143cm</c:v>
                </c:pt>
                <c:pt idx="1">
                  <c:v>144cm</c:v>
                </c:pt>
                <c:pt idx="2">
                  <c:v>145cm</c:v>
                </c:pt>
                <c:pt idx="3">
                  <c:v>146cm</c:v>
                </c:pt>
                <c:pt idx="4">
                  <c:v>147cm</c:v>
                </c:pt>
                <c:pt idx="5">
                  <c:v>148cm</c:v>
                </c:pt>
                <c:pt idx="6">
                  <c:v>149cm</c:v>
                </c:pt>
                <c:pt idx="7">
                  <c:v>150cm</c:v>
                </c:pt>
                <c:pt idx="8">
                  <c:v>151cm</c:v>
                </c:pt>
                <c:pt idx="9">
                  <c:v>152cm</c:v>
                </c:pt>
                <c:pt idx="10">
                  <c:v>153cm</c:v>
                </c:pt>
                <c:pt idx="11">
                  <c:v>154cm</c:v>
                </c:pt>
                <c:pt idx="12">
                  <c:v>155cm</c:v>
                </c:pt>
                <c:pt idx="13">
                  <c:v>156cm</c:v>
                </c:pt>
                <c:pt idx="14">
                  <c:v>157cm</c:v>
                </c:pt>
                <c:pt idx="15">
                  <c:v>158cm</c:v>
                </c:pt>
                <c:pt idx="16">
                  <c:v>159cm</c:v>
                </c:pt>
                <c:pt idx="17">
                  <c:v>160cm</c:v>
                </c:pt>
                <c:pt idx="18">
                  <c:v>161cm</c:v>
                </c:pt>
                <c:pt idx="19">
                  <c:v>162cm</c:v>
                </c:pt>
                <c:pt idx="20">
                  <c:v>163cm</c:v>
                </c:pt>
                <c:pt idx="21">
                  <c:v>164cm</c:v>
                </c:pt>
                <c:pt idx="22">
                  <c:v>165cm</c:v>
                </c:pt>
                <c:pt idx="23">
                  <c:v>166cm</c:v>
                </c:pt>
                <c:pt idx="24">
                  <c:v>167cm</c:v>
                </c:pt>
                <c:pt idx="25">
                  <c:v>168cm</c:v>
                </c:pt>
                <c:pt idx="26">
                  <c:v>169cm</c:v>
                </c:pt>
                <c:pt idx="27">
                  <c:v>170cm</c:v>
                </c:pt>
                <c:pt idx="28">
                  <c:v>171cm</c:v>
                </c:pt>
                <c:pt idx="29">
                  <c:v>172cm</c:v>
                </c:pt>
                <c:pt idx="30">
                  <c:v>173cm</c:v>
                </c:pt>
                <c:pt idx="31">
                  <c:v>174cm</c:v>
                </c:pt>
                <c:pt idx="32">
                  <c:v>175cm</c:v>
                </c:pt>
                <c:pt idx="33">
                  <c:v>176cm</c:v>
                </c:pt>
                <c:pt idx="34">
                  <c:v>177cm</c:v>
                </c:pt>
                <c:pt idx="35">
                  <c:v>178cm</c:v>
                </c:pt>
                <c:pt idx="36">
                  <c:v>179cm</c:v>
                </c:pt>
                <c:pt idx="37">
                  <c:v>180cm</c:v>
                </c:pt>
                <c:pt idx="38">
                  <c:v>181cm</c:v>
                </c:pt>
                <c:pt idx="39">
                  <c:v>182cm</c:v>
                </c:pt>
                <c:pt idx="40">
                  <c:v>183cm</c:v>
                </c:pt>
                <c:pt idx="41">
                  <c:v>184cm</c:v>
                </c:pt>
                <c:pt idx="42">
                  <c:v>185cm</c:v>
                </c:pt>
                <c:pt idx="43">
                  <c:v>186cm</c:v>
                </c:pt>
                <c:pt idx="44">
                  <c:v>187cm</c:v>
                </c:pt>
                <c:pt idx="45">
                  <c:v>188cm</c:v>
                </c:pt>
                <c:pt idx="46">
                  <c:v>189cm</c:v>
                </c:pt>
                <c:pt idx="47">
                  <c:v>190cm</c:v>
                </c:pt>
                <c:pt idx="48">
                  <c:v>191cm</c:v>
                </c:pt>
                <c:pt idx="49">
                  <c:v>192cm</c:v>
                </c:pt>
                <c:pt idx="50">
                  <c:v>193cm</c:v>
                </c:pt>
                <c:pt idx="51">
                  <c:v>194cm</c:v>
                </c:pt>
                <c:pt idx="52">
                  <c:v>195cm</c:v>
                </c:pt>
              </c:strCache>
            </c:strRef>
          </c:cat>
          <c:val>
            <c:numRef>
              <c:f>Sheet1!$B$2:$B$54</c:f>
              <c:numCache>
                <c:formatCode>General</c:formatCode>
                <c:ptCount val="53"/>
                <c:pt idx="0">
                  <c:v>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1E-4</c:v>
                </c:pt>
                <c:pt idx="6">
                  <c:v>2.9999999999999997E-4</c:v>
                </c:pt>
                <c:pt idx="7">
                  <c:v>2.9999999999999997E-4</c:v>
                </c:pt>
                <c:pt idx="8">
                  <c:v>5.0000000000000001E-4</c:v>
                </c:pt>
                <c:pt idx="9">
                  <c:v>4.0000000000000002E-4</c:v>
                </c:pt>
                <c:pt idx="10">
                  <c:v>8.0000000000000004E-4</c:v>
                </c:pt>
                <c:pt idx="11">
                  <c:v>1.8E-3</c:v>
                </c:pt>
                <c:pt idx="12">
                  <c:v>2.2000000000000001E-3</c:v>
                </c:pt>
                <c:pt idx="13">
                  <c:v>4.0000000000000001E-3</c:v>
                </c:pt>
                <c:pt idx="14">
                  <c:v>4.2000000000000006E-3</c:v>
                </c:pt>
                <c:pt idx="15">
                  <c:v>6.1999999999999998E-3</c:v>
                </c:pt>
                <c:pt idx="16">
                  <c:v>8.9999999999999993E-3</c:v>
                </c:pt>
                <c:pt idx="17">
                  <c:v>1.4199999999999999E-2</c:v>
                </c:pt>
                <c:pt idx="18">
                  <c:v>1.9600000000000003E-2</c:v>
                </c:pt>
                <c:pt idx="19">
                  <c:v>2.1700000000000001E-2</c:v>
                </c:pt>
                <c:pt idx="20">
                  <c:v>2.7699999999999999E-2</c:v>
                </c:pt>
                <c:pt idx="21">
                  <c:v>3.5099999999999999E-2</c:v>
                </c:pt>
                <c:pt idx="22">
                  <c:v>4.4200000000000003E-2</c:v>
                </c:pt>
                <c:pt idx="23">
                  <c:v>5.1900000000000002E-2</c:v>
                </c:pt>
                <c:pt idx="24">
                  <c:v>5.4799999999999995E-2</c:v>
                </c:pt>
                <c:pt idx="25">
                  <c:v>5.8799999999999998E-2</c:v>
                </c:pt>
                <c:pt idx="26">
                  <c:v>6.6099999999999992E-2</c:v>
                </c:pt>
                <c:pt idx="27">
                  <c:v>7.1300000000000002E-2</c:v>
                </c:pt>
                <c:pt idx="28">
                  <c:v>7.0400000000000004E-2</c:v>
                </c:pt>
                <c:pt idx="29">
                  <c:v>6.6599999999999993E-2</c:v>
                </c:pt>
                <c:pt idx="30">
                  <c:v>5.6299999999999996E-2</c:v>
                </c:pt>
                <c:pt idx="31">
                  <c:v>5.6299999999999996E-2</c:v>
                </c:pt>
                <c:pt idx="32">
                  <c:v>5.0200000000000002E-2</c:v>
                </c:pt>
                <c:pt idx="33">
                  <c:v>4.5999999999999999E-2</c:v>
                </c:pt>
                <c:pt idx="34">
                  <c:v>3.6499999999999998E-2</c:v>
                </c:pt>
                <c:pt idx="35">
                  <c:v>2.87E-2</c:v>
                </c:pt>
                <c:pt idx="36">
                  <c:v>2.4899999999999999E-2</c:v>
                </c:pt>
                <c:pt idx="37">
                  <c:v>1.83E-2</c:v>
                </c:pt>
                <c:pt idx="38">
                  <c:v>1.34E-2</c:v>
                </c:pt>
                <c:pt idx="39">
                  <c:v>1.1800000000000001E-2</c:v>
                </c:pt>
                <c:pt idx="40">
                  <c:v>8.199999999999999E-3</c:v>
                </c:pt>
                <c:pt idx="41">
                  <c:v>5.0000000000000001E-3</c:v>
                </c:pt>
                <c:pt idx="42">
                  <c:v>4.9000000000000007E-3</c:v>
                </c:pt>
                <c:pt idx="43">
                  <c:v>3.0000000000000001E-3</c:v>
                </c:pt>
                <c:pt idx="44">
                  <c:v>1.1999999999999999E-3</c:v>
                </c:pt>
                <c:pt idx="45">
                  <c:v>1.5E-3</c:v>
                </c:pt>
                <c:pt idx="46">
                  <c:v>8.0000000000000004E-4</c:v>
                </c:pt>
                <c:pt idx="47">
                  <c:v>2.0000000000000001E-4</c:v>
                </c:pt>
                <c:pt idx="48">
                  <c:v>2.0000000000000001E-4</c:v>
                </c:pt>
                <c:pt idx="49">
                  <c:v>1E-4</c:v>
                </c:pt>
                <c:pt idx="50">
                  <c:v>1E-4</c:v>
                </c:pt>
                <c:pt idx="51">
                  <c:v>2.0000000000000001E-4</c:v>
                </c:pt>
                <c:pt idx="52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A-BE44-B19F-D3BA93C7F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1"/>
        <c:axId val="1125297088"/>
        <c:axId val="1107765312"/>
      </c:barChart>
      <c:catAx>
        <c:axId val="11252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7765312"/>
        <c:crosses val="autoZero"/>
        <c:auto val="1"/>
        <c:lblAlgn val="ctr"/>
        <c:lblOffset val="100"/>
        <c:noMultiLvlLbl val="0"/>
      </c:catAx>
      <c:valAx>
        <c:axId val="11077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29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34" charset="-128"/>
                    <a:ea typeface="Meiryo UI" panose="020B0604030504040204" pitchFamily="34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Sheet1!$A$29:$A$32</c:f>
              <c:strCache>
                <c:ptCount val="4"/>
                <c:pt idx="0">
                  <c:v>170cm</c:v>
                </c:pt>
                <c:pt idx="1">
                  <c:v>171cm</c:v>
                </c:pt>
                <c:pt idx="2">
                  <c:v>172cm</c:v>
                </c:pt>
                <c:pt idx="3">
                  <c:v>173cm</c:v>
                </c:pt>
              </c:strCache>
            </c:strRef>
          </c:cat>
          <c:val>
            <c:numRef>
              <c:f>Sheet1!$B$29:$B$32</c:f>
              <c:numCache>
                <c:formatCode>General</c:formatCode>
                <c:ptCount val="4"/>
                <c:pt idx="0">
                  <c:v>7.1300000000000002E-2</c:v>
                </c:pt>
                <c:pt idx="1">
                  <c:v>7.0400000000000004E-2</c:v>
                </c:pt>
                <c:pt idx="2">
                  <c:v>6.6599999999999993E-2</c:v>
                </c:pt>
                <c:pt idx="3">
                  <c:v>5.6299999999999996E-2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9-3C4E-89EA-D62746D8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264406464"/>
        <c:axId val="1263919872"/>
      </c:barChart>
      <c:catAx>
        <c:axId val="12644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defRPr>
            </a:pPr>
            <a:endParaRPr lang="ja-JP"/>
          </a:p>
        </c:txPr>
        <c:crossAx val="1263919872"/>
        <c:crosses val="autoZero"/>
        <c:auto val="1"/>
        <c:lblAlgn val="ctr"/>
        <c:lblOffset val="100"/>
        <c:noMultiLvlLbl val="0"/>
      </c:catAx>
      <c:valAx>
        <c:axId val="12639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defRPr>
            </a:pPr>
            <a:endParaRPr lang="ja-JP"/>
          </a:p>
        </c:txPr>
        <c:crossAx val="126440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eiryo UI" panose="020B0604030504040204" pitchFamily="34" charset="-128"/>
          <a:ea typeface="Meiryo UI" panose="020B0604030504040204" pitchFamily="34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Sheet1!$E$29:$E$32</c:f>
              <c:strCache>
                <c:ptCount val="2"/>
                <c:pt idx="0">
                  <c:v>170cm</c:v>
                </c:pt>
                <c:pt idx="1">
                  <c:v>172cm</c:v>
                </c:pt>
              </c:strCache>
            </c:strRef>
          </c:cat>
          <c:val>
            <c:numRef>
              <c:f>Sheet1!$E$29:$E$32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C-4549-8763-5A1AC148332C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34" charset="-128"/>
                    <a:ea typeface="Meiryo UI" panose="020B0604030504040204" pitchFamily="34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Sheet1!$E$29:$E$32</c:f>
              <c:strCache>
                <c:ptCount val="2"/>
                <c:pt idx="0">
                  <c:v>170cm</c:v>
                </c:pt>
                <c:pt idx="1">
                  <c:v>172cm</c:v>
                </c:pt>
              </c:strCache>
            </c:strRef>
          </c:cat>
          <c:val>
            <c:numRef>
              <c:f>Sheet1!$F$29:$F$32</c:f>
              <c:numCache>
                <c:formatCode>General</c:formatCode>
                <c:ptCount val="4"/>
                <c:pt idx="0">
                  <c:v>7.0849999999999996E-2</c:v>
                </c:pt>
                <c:pt idx="1">
                  <c:v>6.1449999999999991E-2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C-4549-8763-5A1AC1483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7"/>
        <c:axId val="1317425088"/>
        <c:axId val="1320041344"/>
      </c:barChart>
      <c:catAx>
        <c:axId val="131742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defRPr>
            </a:pPr>
            <a:endParaRPr lang="ja-JP"/>
          </a:p>
        </c:txPr>
        <c:crossAx val="1320041344"/>
        <c:crosses val="autoZero"/>
        <c:auto val="1"/>
        <c:lblAlgn val="ctr"/>
        <c:lblOffset val="100"/>
        <c:noMultiLvlLbl val="0"/>
      </c:catAx>
      <c:valAx>
        <c:axId val="13200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+mn-cs"/>
              </a:defRPr>
            </a:pPr>
            <a:endParaRPr lang="ja-JP"/>
          </a:p>
        </c:txPr>
        <c:crossAx val="131742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Meiryo UI" panose="020B0604030504040204" pitchFamily="34" charset="-128"/>
          <a:ea typeface="Meiryo UI" panose="020B0604030504040204" pitchFamily="34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47</xdr:row>
      <xdr:rowOff>76200</xdr:rowOff>
    </xdr:from>
    <xdr:to>
      <xdr:col>15</xdr:col>
      <xdr:colOff>635000</xdr:colOff>
      <xdr:row>66</xdr:row>
      <xdr:rowOff>50800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470A09-9E46-1FD9-9191-B76976798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787400</xdr:colOff>
      <xdr:row>21</xdr:row>
      <xdr:rowOff>50800</xdr:rowOff>
    </xdr:from>
    <xdr:to>
      <xdr:col>14</xdr:col>
      <xdr:colOff>406400</xdr:colOff>
      <xdr:row>31</xdr:row>
      <xdr:rowOff>165100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71561C2-9240-DB1C-C73C-D0239D58C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787400</xdr:colOff>
      <xdr:row>31</xdr:row>
      <xdr:rowOff>177800</xdr:rowOff>
    </xdr:from>
    <xdr:to>
      <xdr:col>14</xdr:col>
      <xdr:colOff>419100</xdr:colOff>
      <xdr:row>43</xdr:row>
      <xdr:rowOff>177800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6B8EB4-AB61-B9EC-11E5-4FDF78F62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9F75-F7E8-44CF-8B94-6D272D50655C}">
  <sheetPr>
    <pageSetUpPr fitToPage="1"/>
  </sheetPr>
  <dimension ref="A1:O64"/>
  <sheetViews>
    <sheetView topLeftCell="A3" zoomScaleNormal="100" workbookViewId="0">
      <selection activeCell="C7" sqref="C7:C64"/>
    </sheetView>
  </sheetViews>
  <sheetFormatPr baseColWidth="10" defaultColWidth="10.33203125" defaultRowHeight="12" customHeight="1"/>
  <cols>
    <col min="1" max="2" width="8" style="1" customWidth="1" collapsed="1"/>
    <col min="3" max="3" width="10.33203125" style="1" collapsed="1"/>
    <col min="4" max="15" width="10.33203125" style="1"/>
    <col min="16" max="16384" width="10.33203125" style="1" collapsed="1"/>
  </cols>
  <sheetData>
    <row r="1" spans="1:3" ht="12" customHeight="1">
      <c r="A1" s="2" t="s">
        <v>0</v>
      </c>
      <c r="B1" s="3"/>
    </row>
    <row r="2" spans="1:3" ht="12" customHeight="1">
      <c r="A2" s="2" t="s">
        <v>1</v>
      </c>
      <c r="B2" s="4"/>
    </row>
    <row r="3" spans="1:3" ht="12" customHeight="1">
      <c r="A3" s="2"/>
      <c r="B3" s="4" t="s">
        <v>2</v>
      </c>
    </row>
    <row r="4" spans="1:3" ht="12" customHeight="1">
      <c r="A4" s="5" t="s">
        <v>3</v>
      </c>
      <c r="B4" s="5" t="s">
        <v>7</v>
      </c>
    </row>
    <row r="5" spans="1:3" ht="12" customHeight="1">
      <c r="A5" s="5" t="s">
        <v>3</v>
      </c>
      <c r="B5" s="5" t="s">
        <v>20</v>
      </c>
    </row>
    <row r="6" spans="1:3" ht="12" customHeight="1">
      <c r="A6" s="6" t="s">
        <v>21</v>
      </c>
      <c r="B6" s="7">
        <v>1000</v>
      </c>
    </row>
    <row r="7" spans="1:3" ht="12" customHeight="1">
      <c r="A7" s="4" t="s">
        <v>75</v>
      </c>
      <c r="B7" s="9">
        <v>0.1</v>
      </c>
      <c r="C7" s="1">
        <f>B7/1000</f>
        <v>1E-4</v>
      </c>
    </row>
    <row r="8" spans="1:3" ht="12" customHeight="1">
      <c r="A8" s="4" t="s">
        <v>76</v>
      </c>
      <c r="B8" s="9">
        <v>0</v>
      </c>
      <c r="C8" s="1">
        <f t="shared" ref="C8:C64" si="0">B8/1000</f>
        <v>0</v>
      </c>
    </row>
    <row r="9" spans="1:3" ht="12" customHeight="1">
      <c r="A9" s="4" t="s">
        <v>77</v>
      </c>
      <c r="B9" s="9">
        <v>0</v>
      </c>
      <c r="C9" s="1">
        <f t="shared" si="0"/>
        <v>0</v>
      </c>
    </row>
    <row r="10" spans="1:3" ht="12" customHeight="1">
      <c r="A10" s="4" t="s">
        <v>78</v>
      </c>
      <c r="B10" s="9">
        <v>0</v>
      </c>
      <c r="C10" s="1">
        <f t="shared" si="0"/>
        <v>0</v>
      </c>
    </row>
    <row r="11" spans="1:3" ht="12" customHeight="1">
      <c r="A11" s="4" t="s">
        <v>79</v>
      </c>
      <c r="B11" s="9">
        <v>0</v>
      </c>
      <c r="C11" s="1">
        <f t="shared" si="0"/>
        <v>0</v>
      </c>
    </row>
    <row r="12" spans="1:3" ht="12" customHeight="1">
      <c r="A12" s="4" t="s">
        <v>80</v>
      </c>
      <c r="B12" s="9">
        <v>0.1</v>
      </c>
      <c r="C12" s="1">
        <f t="shared" si="0"/>
        <v>1E-4</v>
      </c>
    </row>
    <row r="13" spans="1:3" ht="12" customHeight="1">
      <c r="A13" s="4" t="s">
        <v>81</v>
      </c>
      <c r="B13" s="9">
        <v>0.3</v>
      </c>
      <c r="C13" s="1">
        <f t="shared" si="0"/>
        <v>2.9999999999999997E-4</v>
      </c>
    </row>
    <row r="14" spans="1:3" ht="12" customHeight="1">
      <c r="A14" s="4" t="s">
        <v>82</v>
      </c>
      <c r="B14" s="9">
        <v>0.3</v>
      </c>
      <c r="C14" s="1">
        <f t="shared" si="0"/>
        <v>2.9999999999999997E-4</v>
      </c>
    </row>
    <row r="15" spans="1:3" ht="12" customHeight="1">
      <c r="A15" s="4" t="s">
        <v>83</v>
      </c>
      <c r="B15" s="9">
        <v>0.5</v>
      </c>
      <c r="C15" s="1">
        <f t="shared" si="0"/>
        <v>5.0000000000000001E-4</v>
      </c>
    </row>
    <row r="16" spans="1:3" ht="12" customHeight="1">
      <c r="A16" s="4" t="s">
        <v>84</v>
      </c>
      <c r="B16" s="9">
        <v>0.4</v>
      </c>
      <c r="C16" s="1">
        <f t="shared" si="0"/>
        <v>4.0000000000000002E-4</v>
      </c>
    </row>
    <row r="17" spans="1:3" ht="12" customHeight="1">
      <c r="A17" s="4" t="s">
        <v>85</v>
      </c>
      <c r="B17" s="9">
        <v>0.8</v>
      </c>
      <c r="C17" s="1">
        <f t="shared" si="0"/>
        <v>8.0000000000000004E-4</v>
      </c>
    </row>
    <row r="18" spans="1:3" ht="12" customHeight="1">
      <c r="A18" s="4" t="s">
        <v>86</v>
      </c>
      <c r="B18" s="9">
        <v>1.8</v>
      </c>
      <c r="C18" s="1">
        <f t="shared" si="0"/>
        <v>1.8E-3</v>
      </c>
    </row>
    <row r="19" spans="1:3" ht="12" customHeight="1">
      <c r="A19" s="4" t="s">
        <v>87</v>
      </c>
      <c r="B19" s="9">
        <v>2.2000000000000002</v>
      </c>
      <c r="C19" s="1">
        <f t="shared" si="0"/>
        <v>2.2000000000000001E-3</v>
      </c>
    </row>
    <row r="20" spans="1:3" ht="12" customHeight="1">
      <c r="A20" s="4" t="s">
        <v>88</v>
      </c>
      <c r="B20" s="9">
        <v>4</v>
      </c>
      <c r="C20" s="1">
        <f t="shared" si="0"/>
        <v>4.0000000000000001E-3</v>
      </c>
    </row>
    <row r="21" spans="1:3" ht="12" customHeight="1">
      <c r="A21" s="4" t="s">
        <v>89</v>
      </c>
      <c r="B21" s="9">
        <v>4.2</v>
      </c>
      <c r="C21" s="1">
        <f t="shared" si="0"/>
        <v>4.2000000000000006E-3</v>
      </c>
    </row>
    <row r="22" spans="1:3" ht="12" customHeight="1">
      <c r="A22" s="4" t="s">
        <v>90</v>
      </c>
      <c r="B22" s="9">
        <v>6.2</v>
      </c>
      <c r="C22" s="1">
        <f t="shared" si="0"/>
        <v>6.1999999999999998E-3</v>
      </c>
    </row>
    <row r="23" spans="1:3" ht="12" customHeight="1">
      <c r="A23" s="4" t="s">
        <v>91</v>
      </c>
      <c r="B23" s="9">
        <v>9</v>
      </c>
      <c r="C23" s="1">
        <f t="shared" si="0"/>
        <v>8.9999999999999993E-3</v>
      </c>
    </row>
    <row r="24" spans="1:3" ht="12" customHeight="1">
      <c r="A24" s="4" t="s">
        <v>92</v>
      </c>
      <c r="B24" s="9">
        <v>14.2</v>
      </c>
      <c r="C24" s="1">
        <f t="shared" si="0"/>
        <v>1.4199999999999999E-2</v>
      </c>
    </row>
    <row r="25" spans="1:3" ht="12" customHeight="1">
      <c r="A25" s="4" t="s">
        <v>93</v>
      </c>
      <c r="B25" s="9">
        <v>19.600000000000001</v>
      </c>
      <c r="C25" s="1">
        <f t="shared" si="0"/>
        <v>1.9600000000000003E-2</v>
      </c>
    </row>
    <row r="26" spans="1:3" ht="12" customHeight="1">
      <c r="A26" s="4" t="s">
        <v>94</v>
      </c>
      <c r="B26" s="9">
        <v>21.7</v>
      </c>
      <c r="C26" s="1">
        <f t="shared" si="0"/>
        <v>2.1700000000000001E-2</v>
      </c>
    </row>
    <row r="27" spans="1:3" ht="12" customHeight="1">
      <c r="A27" s="4" t="s">
        <v>95</v>
      </c>
      <c r="B27" s="9">
        <v>27.7</v>
      </c>
      <c r="C27" s="1">
        <f t="shared" si="0"/>
        <v>2.7699999999999999E-2</v>
      </c>
    </row>
    <row r="28" spans="1:3" ht="12" customHeight="1">
      <c r="A28" s="4" t="s">
        <v>96</v>
      </c>
      <c r="B28" s="9">
        <v>35.1</v>
      </c>
      <c r="C28" s="1">
        <f t="shared" si="0"/>
        <v>3.5099999999999999E-2</v>
      </c>
    </row>
    <row r="29" spans="1:3" ht="12" customHeight="1">
      <c r="A29" s="4" t="s">
        <v>97</v>
      </c>
      <c r="B29" s="9">
        <v>44.2</v>
      </c>
      <c r="C29" s="1">
        <f t="shared" si="0"/>
        <v>4.4200000000000003E-2</v>
      </c>
    </row>
    <row r="30" spans="1:3" ht="12" customHeight="1">
      <c r="A30" s="4" t="s">
        <v>98</v>
      </c>
      <c r="B30" s="9">
        <v>51.9</v>
      </c>
      <c r="C30" s="1">
        <f t="shared" si="0"/>
        <v>5.1900000000000002E-2</v>
      </c>
    </row>
    <row r="31" spans="1:3" ht="12" customHeight="1">
      <c r="A31" s="4" t="s">
        <v>99</v>
      </c>
      <c r="B31" s="9">
        <v>54.8</v>
      </c>
      <c r="C31" s="1">
        <f t="shared" si="0"/>
        <v>5.4799999999999995E-2</v>
      </c>
    </row>
    <row r="32" spans="1:3" ht="12" customHeight="1">
      <c r="A32" s="4" t="s">
        <v>100</v>
      </c>
      <c r="B32" s="9">
        <v>58.8</v>
      </c>
      <c r="C32" s="1">
        <f t="shared" si="0"/>
        <v>5.8799999999999998E-2</v>
      </c>
    </row>
    <row r="33" spans="1:3" ht="12" customHeight="1">
      <c r="A33" s="4" t="s">
        <v>101</v>
      </c>
      <c r="B33" s="9">
        <v>66.099999999999994</v>
      </c>
      <c r="C33" s="1">
        <f t="shared" si="0"/>
        <v>6.6099999999999992E-2</v>
      </c>
    </row>
    <row r="34" spans="1:3" ht="12" customHeight="1">
      <c r="A34" s="4" t="s">
        <v>102</v>
      </c>
      <c r="B34" s="9">
        <v>71.3</v>
      </c>
      <c r="C34" s="1">
        <f t="shared" si="0"/>
        <v>7.1300000000000002E-2</v>
      </c>
    </row>
    <row r="35" spans="1:3" ht="12" customHeight="1">
      <c r="A35" s="4" t="s">
        <v>103</v>
      </c>
      <c r="B35" s="9">
        <v>70.400000000000006</v>
      </c>
      <c r="C35" s="1">
        <f t="shared" si="0"/>
        <v>7.0400000000000004E-2</v>
      </c>
    </row>
    <row r="36" spans="1:3" ht="12" customHeight="1">
      <c r="A36" s="4" t="s">
        <v>104</v>
      </c>
      <c r="B36" s="9">
        <v>66.599999999999994</v>
      </c>
      <c r="C36" s="1">
        <f t="shared" si="0"/>
        <v>6.6599999999999993E-2</v>
      </c>
    </row>
    <row r="37" spans="1:3" ht="12" customHeight="1">
      <c r="A37" s="4" t="s">
        <v>105</v>
      </c>
      <c r="B37" s="9">
        <v>56.3</v>
      </c>
      <c r="C37" s="1">
        <f t="shared" si="0"/>
        <v>5.6299999999999996E-2</v>
      </c>
    </row>
    <row r="38" spans="1:3" ht="12" customHeight="1">
      <c r="A38" s="4" t="s">
        <v>106</v>
      </c>
      <c r="B38" s="9">
        <v>56.3</v>
      </c>
      <c r="C38" s="1">
        <f t="shared" si="0"/>
        <v>5.6299999999999996E-2</v>
      </c>
    </row>
    <row r="39" spans="1:3" ht="12" customHeight="1">
      <c r="A39" s="4" t="s">
        <v>107</v>
      </c>
      <c r="B39" s="9">
        <v>50.2</v>
      </c>
      <c r="C39" s="1">
        <f t="shared" si="0"/>
        <v>5.0200000000000002E-2</v>
      </c>
    </row>
    <row r="40" spans="1:3" ht="12" customHeight="1">
      <c r="A40" s="4" t="s">
        <v>108</v>
      </c>
      <c r="B40" s="9">
        <v>46</v>
      </c>
      <c r="C40" s="1">
        <f t="shared" si="0"/>
        <v>4.5999999999999999E-2</v>
      </c>
    </row>
    <row r="41" spans="1:3" ht="12" customHeight="1">
      <c r="A41" s="4" t="s">
        <v>109</v>
      </c>
      <c r="B41" s="9">
        <v>36.5</v>
      </c>
      <c r="C41" s="1">
        <f t="shared" si="0"/>
        <v>3.6499999999999998E-2</v>
      </c>
    </row>
    <row r="42" spans="1:3" ht="12" customHeight="1">
      <c r="A42" s="4" t="s">
        <v>110</v>
      </c>
      <c r="B42" s="9">
        <v>28.7</v>
      </c>
      <c r="C42" s="1">
        <f t="shared" si="0"/>
        <v>2.87E-2</v>
      </c>
    </row>
    <row r="43" spans="1:3" ht="12" customHeight="1">
      <c r="A43" s="4" t="s">
        <v>111</v>
      </c>
      <c r="B43" s="9">
        <v>24.9</v>
      </c>
      <c r="C43" s="1">
        <f t="shared" si="0"/>
        <v>2.4899999999999999E-2</v>
      </c>
    </row>
    <row r="44" spans="1:3" ht="12" customHeight="1">
      <c r="A44" s="4" t="s">
        <v>112</v>
      </c>
      <c r="B44" s="9">
        <v>18.3</v>
      </c>
      <c r="C44" s="1">
        <f t="shared" si="0"/>
        <v>1.83E-2</v>
      </c>
    </row>
    <row r="45" spans="1:3" ht="12" customHeight="1">
      <c r="A45" s="4" t="s">
        <v>113</v>
      </c>
      <c r="B45" s="9">
        <v>13.4</v>
      </c>
      <c r="C45" s="1">
        <f t="shared" si="0"/>
        <v>1.34E-2</v>
      </c>
    </row>
    <row r="46" spans="1:3" ht="12" customHeight="1">
      <c r="A46" s="4" t="s">
        <v>114</v>
      </c>
      <c r="B46" s="9">
        <v>11.8</v>
      </c>
      <c r="C46" s="1">
        <f t="shared" si="0"/>
        <v>1.1800000000000001E-2</v>
      </c>
    </row>
    <row r="47" spans="1:3" ht="12" customHeight="1">
      <c r="A47" s="4" t="s">
        <v>115</v>
      </c>
      <c r="B47" s="9">
        <v>8.1999999999999993</v>
      </c>
      <c r="C47" s="1">
        <f t="shared" si="0"/>
        <v>8.199999999999999E-3</v>
      </c>
    </row>
    <row r="48" spans="1:3" ht="12" customHeight="1">
      <c r="A48" s="4" t="s">
        <v>116</v>
      </c>
      <c r="B48" s="9">
        <v>5</v>
      </c>
      <c r="C48" s="1">
        <f t="shared" si="0"/>
        <v>5.0000000000000001E-3</v>
      </c>
    </row>
    <row r="49" spans="1:3" ht="12" customHeight="1">
      <c r="A49" s="4" t="s">
        <v>117</v>
      </c>
      <c r="B49" s="9">
        <v>4.9000000000000004</v>
      </c>
      <c r="C49" s="1">
        <f t="shared" si="0"/>
        <v>4.9000000000000007E-3</v>
      </c>
    </row>
    <row r="50" spans="1:3" ht="12" customHeight="1">
      <c r="A50" s="4" t="s">
        <v>118</v>
      </c>
      <c r="B50" s="9">
        <v>3</v>
      </c>
      <c r="C50" s="1">
        <f t="shared" si="0"/>
        <v>3.0000000000000001E-3</v>
      </c>
    </row>
    <row r="51" spans="1:3" ht="12" customHeight="1">
      <c r="A51" s="4" t="s">
        <v>119</v>
      </c>
      <c r="B51" s="9">
        <v>1.2</v>
      </c>
      <c r="C51" s="1">
        <f t="shared" si="0"/>
        <v>1.1999999999999999E-3</v>
      </c>
    </row>
    <row r="52" spans="1:3" ht="12" customHeight="1">
      <c r="A52" s="4" t="s">
        <v>120</v>
      </c>
      <c r="B52" s="9">
        <v>1.5</v>
      </c>
      <c r="C52" s="1">
        <f t="shared" si="0"/>
        <v>1.5E-3</v>
      </c>
    </row>
    <row r="53" spans="1:3" ht="12" customHeight="1">
      <c r="A53" s="4" t="s">
        <v>121</v>
      </c>
      <c r="B53" s="9">
        <v>0.8</v>
      </c>
      <c r="C53" s="1">
        <f t="shared" si="0"/>
        <v>8.0000000000000004E-4</v>
      </c>
    </row>
    <row r="54" spans="1:3" ht="12" customHeight="1">
      <c r="A54" s="4" t="s">
        <v>122</v>
      </c>
      <c r="B54" s="9">
        <v>0.2</v>
      </c>
      <c r="C54" s="1">
        <f t="shared" si="0"/>
        <v>2.0000000000000001E-4</v>
      </c>
    </row>
    <row r="55" spans="1:3" ht="12" customHeight="1">
      <c r="A55" s="4" t="s">
        <v>123</v>
      </c>
      <c r="B55" s="9">
        <v>0.2</v>
      </c>
      <c r="C55" s="1">
        <f t="shared" si="0"/>
        <v>2.0000000000000001E-4</v>
      </c>
    </row>
    <row r="56" spans="1:3" ht="12" customHeight="1">
      <c r="A56" s="4" t="s">
        <v>124</v>
      </c>
      <c r="B56" s="9">
        <v>0.1</v>
      </c>
      <c r="C56" s="1">
        <f t="shared" si="0"/>
        <v>1E-4</v>
      </c>
    </row>
    <row r="57" spans="1:3" ht="12" customHeight="1">
      <c r="A57" s="4" t="s">
        <v>125</v>
      </c>
      <c r="B57" s="9">
        <v>0.1</v>
      </c>
      <c r="C57" s="1">
        <f t="shared" si="0"/>
        <v>1E-4</v>
      </c>
    </row>
    <row r="58" spans="1:3" ht="12" customHeight="1">
      <c r="A58" s="4" t="s">
        <v>126</v>
      </c>
      <c r="B58" s="9">
        <v>0.2</v>
      </c>
      <c r="C58" s="1">
        <f t="shared" si="0"/>
        <v>2.0000000000000001E-4</v>
      </c>
    </row>
    <row r="59" spans="1:3" ht="12" customHeight="1">
      <c r="A59" s="4" t="s">
        <v>127</v>
      </c>
      <c r="B59" s="9">
        <v>0.1</v>
      </c>
      <c r="C59" s="1">
        <f t="shared" si="0"/>
        <v>1E-4</v>
      </c>
    </row>
    <row r="60" spans="1:3" ht="12" customHeight="1">
      <c r="A60" s="4" t="s">
        <v>128</v>
      </c>
      <c r="B60" s="9">
        <v>0</v>
      </c>
      <c r="C60" s="1">
        <f t="shared" si="0"/>
        <v>0</v>
      </c>
    </row>
    <row r="61" spans="1:3" ht="12" customHeight="1">
      <c r="A61" s="4" t="s">
        <v>129</v>
      </c>
      <c r="B61" s="9">
        <v>0</v>
      </c>
      <c r="C61" s="1">
        <f t="shared" si="0"/>
        <v>0</v>
      </c>
    </row>
    <row r="62" spans="1:3" ht="12" customHeight="1">
      <c r="A62" s="4" t="s">
        <v>130</v>
      </c>
      <c r="B62" s="9">
        <v>0</v>
      </c>
      <c r="C62" s="1">
        <f t="shared" si="0"/>
        <v>0</v>
      </c>
    </row>
    <row r="63" spans="1:3" ht="12" customHeight="1">
      <c r="A63" s="4" t="s">
        <v>131</v>
      </c>
      <c r="B63" s="9">
        <v>0</v>
      </c>
      <c r="C63" s="1">
        <f t="shared" si="0"/>
        <v>0</v>
      </c>
    </row>
    <row r="64" spans="1:3" ht="12" customHeight="1">
      <c r="A64" s="4" t="s">
        <v>132</v>
      </c>
      <c r="B64" s="9">
        <v>0</v>
      </c>
      <c r="C64" s="1">
        <f t="shared" si="0"/>
        <v>0</v>
      </c>
    </row>
  </sheetData>
  <phoneticPr fontId="3"/>
  <pageMargins left="0.59055118110236227" right="0.59055118110236227" top="0.59055118110236227" bottom="0.59055118110236227" header="0.51181102362204722" footer="0.51181102362204722"/>
  <pageSetup paperSize="9" scale="8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11FA-2BDD-BF41-9000-5D5A9FFD3532}">
  <dimension ref="A1:F55"/>
  <sheetViews>
    <sheetView tabSelected="1" topLeftCell="A33" workbookViewId="0">
      <selection activeCell="C55" sqref="C55"/>
    </sheetView>
  </sheetViews>
  <sheetFormatPr baseColWidth="10" defaultRowHeight="18"/>
  <sheetData>
    <row r="1" spans="1:2">
      <c r="A1" t="s">
        <v>137</v>
      </c>
      <c r="B1" s="13" t="s">
        <v>138</v>
      </c>
    </row>
    <row r="2" spans="1:2">
      <c r="A2" s="4" t="s">
        <v>75</v>
      </c>
      <c r="B2">
        <v>1E-4</v>
      </c>
    </row>
    <row r="3" spans="1:2">
      <c r="A3" s="4" t="s">
        <v>76</v>
      </c>
      <c r="B3">
        <v>0</v>
      </c>
    </row>
    <row r="4" spans="1:2">
      <c r="A4" s="4" t="s">
        <v>77</v>
      </c>
      <c r="B4">
        <v>0</v>
      </c>
    </row>
    <row r="5" spans="1:2">
      <c r="A5" s="4" t="s">
        <v>78</v>
      </c>
      <c r="B5">
        <v>0</v>
      </c>
    </row>
    <row r="6" spans="1:2">
      <c r="A6" s="4" t="s">
        <v>79</v>
      </c>
      <c r="B6">
        <v>0</v>
      </c>
    </row>
    <row r="7" spans="1:2">
      <c r="A7" s="4" t="s">
        <v>80</v>
      </c>
      <c r="B7">
        <v>1E-4</v>
      </c>
    </row>
    <row r="8" spans="1:2">
      <c r="A8" s="4" t="s">
        <v>81</v>
      </c>
      <c r="B8">
        <v>2.9999999999999997E-4</v>
      </c>
    </row>
    <row r="9" spans="1:2">
      <c r="A9" s="4" t="s">
        <v>82</v>
      </c>
      <c r="B9">
        <v>2.9999999999999997E-4</v>
      </c>
    </row>
    <row r="10" spans="1:2">
      <c r="A10" s="4" t="s">
        <v>83</v>
      </c>
      <c r="B10">
        <v>5.0000000000000001E-4</v>
      </c>
    </row>
    <row r="11" spans="1:2">
      <c r="A11" s="4" t="s">
        <v>84</v>
      </c>
      <c r="B11">
        <v>4.0000000000000002E-4</v>
      </c>
    </row>
    <row r="12" spans="1:2">
      <c r="A12" s="4" t="s">
        <v>85</v>
      </c>
      <c r="B12">
        <v>8.0000000000000004E-4</v>
      </c>
    </row>
    <row r="13" spans="1:2">
      <c r="A13" s="4" t="s">
        <v>86</v>
      </c>
      <c r="B13">
        <v>1.8E-3</v>
      </c>
    </row>
    <row r="14" spans="1:2">
      <c r="A14" s="4" t="s">
        <v>87</v>
      </c>
      <c r="B14">
        <v>2.2000000000000001E-3</v>
      </c>
    </row>
    <row r="15" spans="1:2">
      <c r="A15" s="4" t="s">
        <v>88</v>
      </c>
      <c r="B15">
        <v>4.0000000000000001E-3</v>
      </c>
    </row>
    <row r="16" spans="1:2">
      <c r="A16" s="4" t="s">
        <v>89</v>
      </c>
      <c r="B16">
        <v>4.2000000000000006E-3</v>
      </c>
    </row>
    <row r="17" spans="1:6">
      <c r="A17" s="4" t="s">
        <v>90</v>
      </c>
      <c r="B17">
        <v>6.1999999999999998E-3</v>
      </c>
    </row>
    <row r="18" spans="1:6">
      <c r="A18" s="4" t="s">
        <v>91</v>
      </c>
      <c r="B18">
        <v>8.9999999999999993E-3</v>
      </c>
    </row>
    <row r="19" spans="1:6">
      <c r="A19" s="4" t="s">
        <v>92</v>
      </c>
      <c r="B19">
        <v>1.4199999999999999E-2</v>
      </c>
    </row>
    <row r="20" spans="1:6">
      <c r="A20" s="4" t="s">
        <v>93</v>
      </c>
      <c r="B20">
        <v>1.9600000000000003E-2</v>
      </c>
    </row>
    <row r="21" spans="1:6">
      <c r="A21" s="4" t="s">
        <v>94</v>
      </c>
      <c r="B21">
        <v>2.1700000000000001E-2</v>
      </c>
    </row>
    <row r="22" spans="1:6">
      <c r="A22" s="4" t="s">
        <v>95</v>
      </c>
      <c r="B22">
        <v>2.7699999999999999E-2</v>
      </c>
    </row>
    <row r="23" spans="1:6">
      <c r="A23" s="4" t="s">
        <v>96</v>
      </c>
      <c r="B23">
        <v>3.5099999999999999E-2</v>
      </c>
    </row>
    <row r="24" spans="1:6">
      <c r="A24" s="4" t="s">
        <v>97</v>
      </c>
      <c r="B24">
        <v>4.4200000000000003E-2</v>
      </c>
    </row>
    <row r="25" spans="1:6">
      <c r="A25" s="4" t="s">
        <v>98</v>
      </c>
      <c r="B25">
        <v>5.1900000000000002E-2</v>
      </c>
    </row>
    <row r="26" spans="1:6">
      <c r="A26" s="4" t="s">
        <v>99</v>
      </c>
      <c r="B26">
        <v>5.4799999999999995E-2</v>
      </c>
    </row>
    <row r="27" spans="1:6">
      <c r="A27" s="4" t="s">
        <v>100</v>
      </c>
      <c r="B27">
        <v>5.8799999999999998E-2</v>
      </c>
    </row>
    <row r="28" spans="1:6">
      <c r="A28" s="4" t="s">
        <v>101</v>
      </c>
      <c r="B28">
        <v>6.6099999999999992E-2</v>
      </c>
    </row>
    <row r="29" spans="1:6">
      <c r="A29" s="4" t="s">
        <v>102</v>
      </c>
      <c r="B29">
        <v>7.1300000000000002E-2</v>
      </c>
      <c r="C29">
        <f>SUM(B29:B31)</f>
        <v>0.20829999999999999</v>
      </c>
      <c r="E29" t="s">
        <v>139</v>
      </c>
      <c r="F29">
        <f>AVERAGE(B29,B30)</f>
        <v>7.0849999999999996E-2</v>
      </c>
    </row>
    <row r="30" spans="1:6">
      <c r="A30" s="4" t="s">
        <v>103</v>
      </c>
      <c r="B30">
        <v>7.0400000000000004E-2</v>
      </c>
      <c r="E30" t="s">
        <v>140</v>
      </c>
      <c r="F30">
        <f>AVERAGE(B31,B32)</f>
        <v>6.1449999999999991E-2</v>
      </c>
    </row>
    <row r="31" spans="1:6">
      <c r="A31" s="4" t="s">
        <v>104</v>
      </c>
      <c r="B31">
        <v>6.6599999999999993E-2</v>
      </c>
    </row>
    <row r="32" spans="1:6">
      <c r="A32" s="4" t="s">
        <v>105</v>
      </c>
      <c r="B32">
        <v>5.6299999999999996E-2</v>
      </c>
    </row>
    <row r="33" spans="1:2">
      <c r="A33" s="4" t="s">
        <v>106</v>
      </c>
      <c r="B33">
        <v>5.6299999999999996E-2</v>
      </c>
    </row>
    <row r="34" spans="1:2">
      <c r="A34" s="4" t="s">
        <v>107</v>
      </c>
      <c r="B34">
        <v>5.0200000000000002E-2</v>
      </c>
    </row>
    <row r="35" spans="1:2">
      <c r="A35" s="4" t="s">
        <v>108</v>
      </c>
      <c r="B35">
        <v>4.5999999999999999E-2</v>
      </c>
    </row>
    <row r="36" spans="1:2">
      <c r="A36" s="4" t="s">
        <v>109</v>
      </c>
      <c r="B36">
        <v>3.6499999999999998E-2</v>
      </c>
    </row>
    <row r="37" spans="1:2">
      <c r="A37" s="4" t="s">
        <v>110</v>
      </c>
      <c r="B37">
        <v>2.87E-2</v>
      </c>
    </row>
    <row r="38" spans="1:2">
      <c r="A38" s="4" t="s">
        <v>111</v>
      </c>
      <c r="B38">
        <v>2.4899999999999999E-2</v>
      </c>
    </row>
    <row r="39" spans="1:2">
      <c r="A39" s="4" t="s">
        <v>112</v>
      </c>
      <c r="B39">
        <v>1.83E-2</v>
      </c>
    </row>
    <row r="40" spans="1:2">
      <c r="A40" s="4" t="s">
        <v>113</v>
      </c>
      <c r="B40">
        <v>1.34E-2</v>
      </c>
    </row>
    <row r="41" spans="1:2">
      <c r="A41" s="4" t="s">
        <v>114</v>
      </c>
      <c r="B41">
        <v>1.1800000000000001E-2</v>
      </c>
    </row>
    <row r="42" spans="1:2">
      <c r="A42" s="4" t="s">
        <v>115</v>
      </c>
      <c r="B42">
        <v>8.199999999999999E-3</v>
      </c>
    </row>
    <row r="43" spans="1:2">
      <c r="A43" s="4" t="s">
        <v>116</v>
      </c>
      <c r="B43">
        <v>5.0000000000000001E-3</v>
      </c>
    </row>
    <row r="44" spans="1:2">
      <c r="A44" s="4" t="s">
        <v>117</v>
      </c>
      <c r="B44">
        <v>4.9000000000000007E-3</v>
      </c>
    </row>
    <row r="45" spans="1:2">
      <c r="A45" s="4" t="s">
        <v>118</v>
      </c>
      <c r="B45">
        <v>3.0000000000000001E-3</v>
      </c>
    </row>
    <row r="46" spans="1:2">
      <c r="A46" s="4" t="s">
        <v>119</v>
      </c>
      <c r="B46">
        <v>1.1999999999999999E-3</v>
      </c>
    </row>
    <row r="47" spans="1:2">
      <c r="A47" s="4" t="s">
        <v>120</v>
      </c>
      <c r="B47">
        <v>1.5E-3</v>
      </c>
    </row>
    <row r="48" spans="1:2">
      <c r="A48" s="4" t="s">
        <v>121</v>
      </c>
      <c r="B48">
        <v>8.0000000000000004E-4</v>
      </c>
    </row>
    <row r="49" spans="1:2">
      <c r="A49" s="4" t="s">
        <v>122</v>
      </c>
      <c r="B49">
        <v>2.0000000000000001E-4</v>
      </c>
    </row>
    <row r="50" spans="1:2">
      <c r="A50" s="4" t="s">
        <v>123</v>
      </c>
      <c r="B50">
        <v>2.0000000000000001E-4</v>
      </c>
    </row>
    <row r="51" spans="1:2">
      <c r="A51" s="4" t="s">
        <v>124</v>
      </c>
      <c r="B51">
        <v>1E-4</v>
      </c>
    </row>
    <row r="52" spans="1:2">
      <c r="A52" s="4" t="s">
        <v>125</v>
      </c>
      <c r="B52">
        <v>1E-4</v>
      </c>
    </row>
    <row r="53" spans="1:2">
      <c r="A53" s="4" t="s">
        <v>126</v>
      </c>
      <c r="B53">
        <v>2.0000000000000001E-4</v>
      </c>
    </row>
    <row r="54" spans="1:2">
      <c r="A54" s="4" t="s">
        <v>127</v>
      </c>
      <c r="B54">
        <v>1E-4</v>
      </c>
    </row>
    <row r="55" spans="1:2">
      <c r="B55" s="10">
        <f>SUM(B2:B54)</f>
        <v>1.0002</v>
      </c>
    </row>
  </sheetData>
  <phoneticPr fontId="3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BEDF-78B4-1244-814B-18B07A0AC30D}">
  <dimension ref="A1:B22"/>
  <sheetViews>
    <sheetView workbookViewId="0">
      <selection sqref="A1:B22"/>
    </sheetView>
  </sheetViews>
  <sheetFormatPr baseColWidth="10" defaultRowHeight="18"/>
  <sheetData>
    <row r="1" spans="1:2" ht="19" thickBot="1">
      <c r="A1" s="14" t="s">
        <v>137</v>
      </c>
      <c r="B1" s="15" t="s">
        <v>138</v>
      </c>
    </row>
    <row r="2" spans="1:2" ht="19" thickTop="1">
      <c r="A2" s="16" t="s">
        <v>75</v>
      </c>
      <c r="B2" s="17">
        <v>1E-4</v>
      </c>
    </row>
    <row r="3" spans="1:2">
      <c r="A3" s="18" t="s">
        <v>76</v>
      </c>
      <c r="B3" s="19">
        <v>0</v>
      </c>
    </row>
    <row r="4" spans="1:2">
      <c r="A4" s="18" t="s">
        <v>77</v>
      </c>
      <c r="B4" s="19">
        <v>0</v>
      </c>
    </row>
    <row r="5" spans="1:2">
      <c r="A5" s="18" t="s">
        <v>78</v>
      </c>
      <c r="B5" s="19">
        <v>0</v>
      </c>
    </row>
    <row r="6" spans="1:2">
      <c r="A6" s="18" t="s">
        <v>79</v>
      </c>
      <c r="B6" s="19">
        <v>0</v>
      </c>
    </row>
    <row r="7" spans="1:2">
      <c r="A7" s="18" t="s">
        <v>80</v>
      </c>
      <c r="B7" s="19">
        <v>1E-4</v>
      </c>
    </row>
    <row r="8" spans="1:2">
      <c r="A8" s="18" t="s">
        <v>81</v>
      </c>
      <c r="B8" s="19">
        <v>2.9999999999999997E-4</v>
      </c>
    </row>
    <row r="9" spans="1:2">
      <c r="A9" s="20" t="s">
        <v>143</v>
      </c>
      <c r="B9" s="21"/>
    </row>
    <row r="10" spans="1:2">
      <c r="A10" s="18" t="s">
        <v>99</v>
      </c>
      <c r="B10" s="19">
        <v>5.4799999999999995E-2</v>
      </c>
    </row>
    <row r="11" spans="1:2">
      <c r="A11" s="18" t="s">
        <v>100</v>
      </c>
      <c r="B11" s="19">
        <v>5.8799999999999998E-2</v>
      </c>
    </row>
    <row r="12" spans="1:2">
      <c r="A12" s="18" t="s">
        <v>101</v>
      </c>
      <c r="B12" s="19">
        <v>6.6099999999999992E-2</v>
      </c>
    </row>
    <row r="13" spans="1:2">
      <c r="A13" s="18" t="s">
        <v>102</v>
      </c>
      <c r="B13" s="19">
        <v>7.1300000000000002E-2</v>
      </c>
    </row>
    <row r="14" spans="1:2">
      <c r="A14" s="18" t="s">
        <v>103</v>
      </c>
      <c r="B14" s="19">
        <v>7.0400000000000004E-2</v>
      </c>
    </row>
    <row r="15" spans="1:2">
      <c r="A15" s="18" t="s">
        <v>104</v>
      </c>
      <c r="B15" s="19">
        <v>6.6599999999999993E-2</v>
      </c>
    </row>
    <row r="16" spans="1:2">
      <c r="A16" s="20" t="s">
        <v>143</v>
      </c>
      <c r="B16" s="21"/>
    </row>
    <row r="17" spans="1:2">
      <c r="A17" s="18" t="s">
        <v>122</v>
      </c>
      <c r="B17" s="19">
        <v>2.0000000000000001E-4</v>
      </c>
    </row>
    <row r="18" spans="1:2">
      <c r="A18" s="18" t="s">
        <v>123</v>
      </c>
      <c r="B18" s="19">
        <v>2.0000000000000001E-4</v>
      </c>
    </row>
    <row r="19" spans="1:2">
      <c r="A19" s="18" t="s">
        <v>124</v>
      </c>
      <c r="B19" s="19">
        <v>1E-4</v>
      </c>
    </row>
    <row r="20" spans="1:2">
      <c r="A20" s="18" t="s">
        <v>125</v>
      </c>
      <c r="B20" s="19">
        <v>1E-4</v>
      </c>
    </row>
    <row r="21" spans="1:2">
      <c r="A21" s="18" t="s">
        <v>126</v>
      </c>
      <c r="B21" s="19">
        <v>2.0000000000000001E-4</v>
      </c>
    </row>
    <row r="22" spans="1:2" ht="19" thickBot="1">
      <c r="A22" s="22" t="s">
        <v>127</v>
      </c>
      <c r="B22" s="23">
        <v>1E-4</v>
      </c>
    </row>
  </sheetData>
  <mergeCells count="2">
    <mergeCell ref="A9:B9"/>
    <mergeCell ref="A16:B16"/>
  </mergeCells>
  <phoneticPr fontId="3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F923-8D89-314A-842C-8E444C6BCFF5}">
  <dimension ref="A1:B54"/>
  <sheetViews>
    <sheetView workbookViewId="0"/>
  </sheetViews>
  <sheetFormatPr baseColWidth="10" defaultRowHeight="18"/>
  <sheetData>
    <row r="1" spans="1:2">
      <c r="A1" s="11" t="s">
        <v>141</v>
      </c>
      <c r="B1" s="11" t="s">
        <v>142</v>
      </c>
    </row>
    <row r="2" spans="1:2">
      <c r="A2" s="12">
        <v>143</v>
      </c>
      <c r="B2" s="11">
        <v>1E-4</v>
      </c>
    </row>
    <row r="3" spans="1:2">
      <c r="A3" s="12">
        <v>144</v>
      </c>
      <c r="B3" s="11">
        <v>0</v>
      </c>
    </row>
    <row r="4" spans="1:2">
      <c r="A4" s="12">
        <v>145</v>
      </c>
      <c r="B4" s="11">
        <v>0</v>
      </c>
    </row>
    <row r="5" spans="1:2">
      <c r="A5" s="12">
        <v>146</v>
      </c>
      <c r="B5" s="11">
        <v>0</v>
      </c>
    </row>
    <row r="6" spans="1:2">
      <c r="A6" s="12">
        <v>147</v>
      </c>
      <c r="B6" s="11">
        <v>0</v>
      </c>
    </row>
    <row r="7" spans="1:2">
      <c r="A7" s="12">
        <v>148</v>
      </c>
      <c r="B7" s="11">
        <v>1E-4</v>
      </c>
    </row>
    <row r="8" spans="1:2">
      <c r="A8" s="12">
        <v>149</v>
      </c>
      <c r="B8" s="11">
        <v>2.9999999999999997E-4</v>
      </c>
    </row>
    <row r="9" spans="1:2">
      <c r="A9" s="12">
        <v>150</v>
      </c>
      <c r="B9" s="11">
        <v>2.9999999999999997E-4</v>
      </c>
    </row>
    <row r="10" spans="1:2">
      <c r="A10" s="12">
        <v>151</v>
      </c>
      <c r="B10" s="11">
        <v>5.0000000000000001E-4</v>
      </c>
    </row>
    <row r="11" spans="1:2">
      <c r="A11" s="12">
        <v>152</v>
      </c>
      <c r="B11" s="11">
        <v>4.0000000000000002E-4</v>
      </c>
    </row>
    <row r="12" spans="1:2">
      <c r="A12" s="12">
        <v>153</v>
      </c>
      <c r="B12" s="11">
        <v>8.0000000000000004E-4</v>
      </c>
    </row>
    <row r="13" spans="1:2">
      <c r="A13" s="12">
        <v>154</v>
      </c>
      <c r="B13" s="11">
        <v>1.8E-3</v>
      </c>
    </row>
    <row r="14" spans="1:2">
      <c r="A14" s="12">
        <v>155</v>
      </c>
      <c r="B14" s="11">
        <v>2.2000000000000001E-3</v>
      </c>
    </row>
    <row r="15" spans="1:2">
      <c r="A15" s="12">
        <v>156</v>
      </c>
      <c r="B15" s="11">
        <v>4.0000000000000001E-3</v>
      </c>
    </row>
    <row r="16" spans="1:2">
      <c r="A16" s="12">
        <v>157</v>
      </c>
      <c r="B16" s="11">
        <v>4.1999999999999997E-3</v>
      </c>
    </row>
    <row r="17" spans="1:2">
      <c r="A17" s="12">
        <v>158</v>
      </c>
      <c r="B17" s="11">
        <v>6.1999999999999998E-3</v>
      </c>
    </row>
    <row r="18" spans="1:2">
      <c r="A18" s="12">
        <v>159</v>
      </c>
      <c r="B18" s="11">
        <v>8.9999999999999993E-3</v>
      </c>
    </row>
    <row r="19" spans="1:2">
      <c r="A19" s="12">
        <v>160</v>
      </c>
      <c r="B19" s="11">
        <v>1.4200000000000001E-2</v>
      </c>
    </row>
    <row r="20" spans="1:2">
      <c r="A20" s="12">
        <v>161</v>
      </c>
      <c r="B20" s="11">
        <v>1.9599999999999999E-2</v>
      </c>
    </row>
    <row r="21" spans="1:2">
      <c r="A21" s="12">
        <v>162</v>
      </c>
      <c r="B21" s="11">
        <v>2.1700000000000001E-2</v>
      </c>
    </row>
    <row r="22" spans="1:2">
      <c r="A22" s="12">
        <v>163</v>
      </c>
      <c r="B22" s="11">
        <v>2.7699999999999999E-2</v>
      </c>
    </row>
    <row r="23" spans="1:2">
      <c r="A23" s="12">
        <v>164</v>
      </c>
      <c r="B23" s="11">
        <v>3.5099999999999999E-2</v>
      </c>
    </row>
    <row r="24" spans="1:2">
      <c r="A24" s="12">
        <v>165</v>
      </c>
      <c r="B24" s="11">
        <v>4.4200000000000003E-2</v>
      </c>
    </row>
    <row r="25" spans="1:2">
      <c r="A25" s="12">
        <v>166</v>
      </c>
      <c r="B25" s="11">
        <v>5.1900000000000002E-2</v>
      </c>
    </row>
    <row r="26" spans="1:2">
      <c r="A26" s="12">
        <v>167</v>
      </c>
      <c r="B26" s="11">
        <v>5.4800000000000001E-2</v>
      </c>
    </row>
    <row r="27" spans="1:2">
      <c r="A27" s="12">
        <v>168</v>
      </c>
      <c r="B27" s="11">
        <v>5.8799999999999998E-2</v>
      </c>
    </row>
    <row r="28" spans="1:2">
      <c r="A28" s="12">
        <v>169</v>
      </c>
      <c r="B28" s="11">
        <v>6.6100000000000006E-2</v>
      </c>
    </row>
    <row r="29" spans="1:2">
      <c r="A29" s="12">
        <v>170</v>
      </c>
      <c r="B29" s="11">
        <v>7.1300000000000002E-2</v>
      </c>
    </row>
    <row r="30" spans="1:2">
      <c r="A30" s="12">
        <v>171</v>
      </c>
      <c r="B30" s="11">
        <v>7.0400000000000004E-2</v>
      </c>
    </row>
    <row r="31" spans="1:2">
      <c r="A31" s="12">
        <v>172</v>
      </c>
      <c r="B31" s="11">
        <v>6.6600000000000006E-2</v>
      </c>
    </row>
    <row r="32" spans="1:2">
      <c r="A32" s="12">
        <v>173</v>
      </c>
      <c r="B32" s="11">
        <v>5.6300000000000003E-2</v>
      </c>
    </row>
    <row r="33" spans="1:2">
      <c r="A33" s="12">
        <v>174</v>
      </c>
      <c r="B33" s="11">
        <v>5.6300000000000003E-2</v>
      </c>
    </row>
    <row r="34" spans="1:2">
      <c r="A34" s="12">
        <v>175</v>
      </c>
      <c r="B34" s="11">
        <v>5.0200000000000002E-2</v>
      </c>
    </row>
    <row r="35" spans="1:2">
      <c r="A35" s="12">
        <v>176</v>
      </c>
      <c r="B35" s="11">
        <v>4.5999999999999999E-2</v>
      </c>
    </row>
    <row r="36" spans="1:2">
      <c r="A36" s="12">
        <v>177</v>
      </c>
      <c r="B36" s="11">
        <v>3.6499999999999998E-2</v>
      </c>
    </row>
    <row r="37" spans="1:2">
      <c r="A37" s="12">
        <v>178</v>
      </c>
      <c r="B37" s="11">
        <v>2.87E-2</v>
      </c>
    </row>
    <row r="38" spans="1:2">
      <c r="A38" s="12">
        <v>179</v>
      </c>
      <c r="B38" s="11">
        <v>2.4899999999999999E-2</v>
      </c>
    </row>
    <row r="39" spans="1:2">
      <c r="A39" s="12">
        <v>180</v>
      </c>
      <c r="B39" s="11">
        <v>1.83E-2</v>
      </c>
    </row>
    <row r="40" spans="1:2">
      <c r="A40" s="12">
        <v>181</v>
      </c>
      <c r="B40" s="11">
        <v>1.34E-2</v>
      </c>
    </row>
    <row r="41" spans="1:2">
      <c r="A41" s="12">
        <v>182</v>
      </c>
      <c r="B41" s="11">
        <v>1.18E-2</v>
      </c>
    </row>
    <row r="42" spans="1:2">
      <c r="A42" s="12">
        <v>183</v>
      </c>
      <c r="B42" s="11">
        <v>8.2000000000000007E-3</v>
      </c>
    </row>
    <row r="43" spans="1:2">
      <c r="A43" s="12">
        <v>184</v>
      </c>
      <c r="B43" s="11">
        <v>5.0000000000000001E-3</v>
      </c>
    </row>
    <row r="44" spans="1:2">
      <c r="A44" s="12">
        <v>185</v>
      </c>
      <c r="B44" s="11">
        <v>4.8999999999999998E-3</v>
      </c>
    </row>
    <row r="45" spans="1:2">
      <c r="A45" s="12">
        <v>186</v>
      </c>
      <c r="B45" s="11">
        <v>3.0000000000000001E-3</v>
      </c>
    </row>
    <row r="46" spans="1:2">
      <c r="A46" s="12">
        <v>187</v>
      </c>
      <c r="B46" s="11">
        <v>1.1999999999999999E-3</v>
      </c>
    </row>
    <row r="47" spans="1:2">
      <c r="A47" s="12">
        <v>188</v>
      </c>
      <c r="B47" s="11">
        <v>1.5E-3</v>
      </c>
    </row>
    <row r="48" spans="1:2">
      <c r="A48" s="12">
        <v>189</v>
      </c>
      <c r="B48" s="11">
        <v>8.0000000000000004E-4</v>
      </c>
    </row>
    <row r="49" spans="1:2">
      <c r="A49" s="12">
        <v>190</v>
      </c>
      <c r="B49" s="11">
        <v>2.0000000000000001E-4</v>
      </c>
    </row>
    <row r="50" spans="1:2">
      <c r="A50" s="12">
        <v>191</v>
      </c>
      <c r="B50" s="11">
        <v>2.0000000000000001E-4</v>
      </c>
    </row>
    <row r="51" spans="1:2">
      <c r="A51" s="12">
        <v>192</v>
      </c>
      <c r="B51" s="11">
        <v>1E-4</v>
      </c>
    </row>
    <row r="52" spans="1:2">
      <c r="A52" s="12">
        <v>193</v>
      </c>
      <c r="B52" s="11">
        <v>1E-4</v>
      </c>
    </row>
    <row r="53" spans="1:2">
      <c r="A53" s="12">
        <v>194</v>
      </c>
      <c r="B53" s="11">
        <v>2.0000000000000001E-4</v>
      </c>
    </row>
    <row r="54" spans="1:2">
      <c r="A54" s="12">
        <v>195</v>
      </c>
      <c r="B54" s="11">
        <v>1E-4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9746-8BFE-4B87-8933-2B66436BF7B3}">
  <sheetPr>
    <pageSetUpPr fitToPage="1"/>
  </sheetPr>
  <dimension ref="A1:N118"/>
  <sheetViews>
    <sheetView zoomScaleNormal="100" workbookViewId="0"/>
  </sheetViews>
  <sheetFormatPr baseColWidth="10" defaultColWidth="10.33203125" defaultRowHeight="12" customHeight="1"/>
  <cols>
    <col min="1" max="1" width="8" style="1" customWidth="1" collapsed="1"/>
    <col min="2" max="11" width="7" style="1" customWidth="1" collapsed="1"/>
    <col min="12" max="14" width="8" style="1" customWidth="1" collapsed="1"/>
    <col min="15" max="16384" width="10.33203125" style="1" collapsed="1"/>
  </cols>
  <sheetData>
    <row r="1" spans="1:14" ht="12" customHeight="1">
      <c r="A1" s="2" t="s">
        <v>134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2" customHeight="1">
      <c r="A2" s="2" t="s">
        <v>135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2" customHeight="1">
      <c r="A3" s="2"/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</row>
    <row r="4" spans="1:14" ht="12" customHeight="1">
      <c r="A4" s="5" t="s">
        <v>3</v>
      </c>
      <c r="B4" s="5" t="s">
        <v>4</v>
      </c>
      <c r="C4" s="5" t="s">
        <v>5</v>
      </c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6</v>
      </c>
      <c r="J4" s="5" t="s">
        <v>6</v>
      </c>
      <c r="K4" s="5" t="s">
        <v>6</v>
      </c>
      <c r="L4" s="5" t="s">
        <v>7</v>
      </c>
      <c r="M4" s="5" t="s">
        <v>7</v>
      </c>
      <c r="N4" s="5" t="s">
        <v>7</v>
      </c>
    </row>
    <row r="5" spans="1:14" ht="12" customHeight="1">
      <c r="A5" s="5" t="s">
        <v>3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</row>
    <row r="6" spans="1:14" ht="12" customHeight="1">
      <c r="A6" s="6" t="s">
        <v>21</v>
      </c>
      <c r="B6" s="7">
        <v>1000</v>
      </c>
      <c r="C6" s="7">
        <v>1000</v>
      </c>
      <c r="D6" s="7">
        <v>1000</v>
      </c>
      <c r="E6" s="7">
        <v>1000</v>
      </c>
      <c r="F6" s="7">
        <v>1000</v>
      </c>
      <c r="G6" s="7">
        <v>1000</v>
      </c>
      <c r="H6" s="7">
        <v>1000</v>
      </c>
      <c r="I6" s="7">
        <v>1000</v>
      </c>
      <c r="J6" s="7">
        <v>1000</v>
      </c>
      <c r="K6" s="7">
        <v>1000</v>
      </c>
      <c r="L6" s="7">
        <v>1000</v>
      </c>
      <c r="M6" s="7">
        <v>1000</v>
      </c>
      <c r="N6" s="7">
        <v>1000</v>
      </c>
    </row>
    <row r="7" spans="1:14" ht="12" customHeight="1">
      <c r="A7" s="4" t="s">
        <v>22</v>
      </c>
      <c r="B7" s="9">
        <v>0.3</v>
      </c>
      <c r="C7" s="9" t="s">
        <v>136</v>
      </c>
      <c r="D7" s="9" t="s">
        <v>136</v>
      </c>
      <c r="E7" s="9" t="s">
        <v>136</v>
      </c>
      <c r="F7" s="9" t="s">
        <v>136</v>
      </c>
      <c r="G7" s="9" t="s">
        <v>136</v>
      </c>
      <c r="H7" s="9" t="s">
        <v>136</v>
      </c>
      <c r="I7" s="9" t="s">
        <v>136</v>
      </c>
      <c r="J7" s="9" t="s">
        <v>136</v>
      </c>
      <c r="K7" s="9" t="s">
        <v>136</v>
      </c>
      <c r="L7" s="9" t="s">
        <v>136</v>
      </c>
      <c r="M7" s="9" t="s">
        <v>136</v>
      </c>
      <c r="N7" s="9" t="s">
        <v>136</v>
      </c>
    </row>
    <row r="8" spans="1:14" ht="12" customHeight="1">
      <c r="A8" s="4" t="s">
        <v>23</v>
      </c>
      <c r="B8" s="9">
        <v>0.2</v>
      </c>
      <c r="C8" s="9" t="s">
        <v>136</v>
      </c>
      <c r="D8" s="9">
        <v>0.1</v>
      </c>
      <c r="E8" s="9" t="s">
        <v>136</v>
      </c>
      <c r="F8" s="9" t="s">
        <v>136</v>
      </c>
      <c r="G8" s="9" t="s">
        <v>136</v>
      </c>
      <c r="H8" s="9" t="s">
        <v>136</v>
      </c>
      <c r="I8" s="9" t="s">
        <v>136</v>
      </c>
      <c r="J8" s="9" t="s">
        <v>136</v>
      </c>
      <c r="K8" s="9" t="s">
        <v>136</v>
      </c>
      <c r="L8" s="9" t="s">
        <v>136</v>
      </c>
      <c r="M8" s="9" t="s">
        <v>136</v>
      </c>
      <c r="N8" s="9" t="s">
        <v>136</v>
      </c>
    </row>
    <row r="9" spans="1:14" ht="12" customHeight="1">
      <c r="A9" s="4" t="s">
        <v>24</v>
      </c>
      <c r="B9" s="9">
        <v>0.1</v>
      </c>
      <c r="C9" s="9" t="s">
        <v>136</v>
      </c>
      <c r="D9" s="9" t="s">
        <v>136</v>
      </c>
      <c r="E9" s="9" t="s">
        <v>136</v>
      </c>
      <c r="F9" s="9" t="s">
        <v>136</v>
      </c>
      <c r="G9" s="9" t="s">
        <v>136</v>
      </c>
      <c r="H9" s="9" t="s">
        <v>136</v>
      </c>
      <c r="I9" s="9" t="s">
        <v>136</v>
      </c>
      <c r="J9" s="9" t="s">
        <v>136</v>
      </c>
      <c r="K9" s="9" t="s">
        <v>136</v>
      </c>
      <c r="L9" s="9" t="s">
        <v>136</v>
      </c>
      <c r="M9" s="9" t="s">
        <v>136</v>
      </c>
      <c r="N9" s="9" t="s">
        <v>136</v>
      </c>
    </row>
    <row r="10" spans="1:14" ht="12" customHeight="1">
      <c r="A10" s="4" t="s">
        <v>25</v>
      </c>
      <c r="B10" s="9">
        <v>0.2</v>
      </c>
      <c r="C10" s="9" t="s">
        <v>136</v>
      </c>
      <c r="D10" s="9" t="s">
        <v>136</v>
      </c>
      <c r="E10" s="9" t="s">
        <v>136</v>
      </c>
      <c r="F10" s="9" t="s">
        <v>136</v>
      </c>
      <c r="G10" s="9" t="s">
        <v>136</v>
      </c>
      <c r="H10" s="9" t="s">
        <v>136</v>
      </c>
      <c r="I10" s="9" t="s">
        <v>136</v>
      </c>
      <c r="J10" s="9" t="s">
        <v>136</v>
      </c>
      <c r="K10" s="9" t="s">
        <v>136</v>
      </c>
      <c r="L10" s="9" t="s">
        <v>136</v>
      </c>
      <c r="M10" s="9" t="s">
        <v>136</v>
      </c>
      <c r="N10" s="9" t="s">
        <v>136</v>
      </c>
    </row>
    <row r="11" spans="1:14" ht="12" customHeight="1">
      <c r="A11" s="4" t="s">
        <v>26</v>
      </c>
      <c r="B11" s="9">
        <v>0.1</v>
      </c>
      <c r="C11" s="9" t="s">
        <v>136</v>
      </c>
      <c r="D11" s="9" t="s">
        <v>136</v>
      </c>
      <c r="E11" s="9" t="s">
        <v>136</v>
      </c>
      <c r="F11" s="9" t="s">
        <v>136</v>
      </c>
      <c r="G11" s="9" t="s">
        <v>136</v>
      </c>
      <c r="H11" s="9" t="s">
        <v>136</v>
      </c>
      <c r="I11" s="9" t="s">
        <v>136</v>
      </c>
      <c r="J11" s="9" t="s">
        <v>136</v>
      </c>
      <c r="K11" s="9" t="s">
        <v>136</v>
      </c>
      <c r="L11" s="9" t="s">
        <v>136</v>
      </c>
      <c r="M11" s="9" t="s">
        <v>136</v>
      </c>
      <c r="N11" s="9" t="s">
        <v>136</v>
      </c>
    </row>
    <row r="12" spans="1:14" ht="12" customHeight="1">
      <c r="A12" s="4" t="s">
        <v>27</v>
      </c>
      <c r="B12" s="9">
        <v>0.3</v>
      </c>
      <c r="C12" s="9" t="s">
        <v>136</v>
      </c>
      <c r="D12" s="9" t="s">
        <v>136</v>
      </c>
      <c r="E12" s="9" t="s">
        <v>136</v>
      </c>
      <c r="F12" s="9" t="s">
        <v>136</v>
      </c>
      <c r="G12" s="9" t="s">
        <v>136</v>
      </c>
      <c r="H12" s="9" t="s">
        <v>136</v>
      </c>
      <c r="I12" s="9" t="s">
        <v>136</v>
      </c>
      <c r="J12" s="9" t="s">
        <v>136</v>
      </c>
      <c r="K12" s="9" t="s">
        <v>136</v>
      </c>
      <c r="L12" s="9" t="s">
        <v>136</v>
      </c>
      <c r="M12" s="9" t="s">
        <v>136</v>
      </c>
      <c r="N12" s="9" t="s">
        <v>136</v>
      </c>
    </row>
    <row r="13" spans="1:14" ht="12" customHeight="1">
      <c r="A13" s="4" t="s">
        <v>28</v>
      </c>
      <c r="B13" s="9">
        <v>1.1000000000000001</v>
      </c>
      <c r="C13" s="9" t="s">
        <v>136</v>
      </c>
      <c r="D13" s="9" t="s">
        <v>136</v>
      </c>
      <c r="E13" s="9" t="s">
        <v>136</v>
      </c>
      <c r="F13" s="9" t="s">
        <v>136</v>
      </c>
      <c r="G13" s="9" t="s">
        <v>136</v>
      </c>
      <c r="H13" s="9" t="s">
        <v>136</v>
      </c>
      <c r="I13" s="9" t="s">
        <v>136</v>
      </c>
      <c r="J13" s="9" t="s">
        <v>136</v>
      </c>
      <c r="K13" s="9" t="s">
        <v>136</v>
      </c>
      <c r="L13" s="9" t="s">
        <v>136</v>
      </c>
      <c r="M13" s="9" t="s">
        <v>136</v>
      </c>
      <c r="N13" s="9" t="s">
        <v>136</v>
      </c>
    </row>
    <row r="14" spans="1:14" ht="12" customHeight="1">
      <c r="A14" s="4" t="s">
        <v>29</v>
      </c>
      <c r="B14" s="9">
        <v>1.4</v>
      </c>
      <c r="C14" s="9">
        <v>0</v>
      </c>
      <c r="D14" s="9" t="s">
        <v>136</v>
      </c>
      <c r="E14" s="9" t="s">
        <v>136</v>
      </c>
      <c r="F14" s="9" t="s">
        <v>136</v>
      </c>
      <c r="G14" s="9" t="s">
        <v>136</v>
      </c>
      <c r="H14" s="9" t="s">
        <v>136</v>
      </c>
      <c r="I14" s="9" t="s">
        <v>136</v>
      </c>
      <c r="J14" s="9" t="s">
        <v>136</v>
      </c>
      <c r="K14" s="9" t="s">
        <v>136</v>
      </c>
      <c r="L14" s="9" t="s">
        <v>136</v>
      </c>
      <c r="M14" s="9" t="s">
        <v>136</v>
      </c>
      <c r="N14" s="9" t="s">
        <v>136</v>
      </c>
    </row>
    <row r="15" spans="1:14" ht="12" customHeight="1">
      <c r="A15" s="4" t="s">
        <v>30</v>
      </c>
      <c r="B15" s="9">
        <v>4</v>
      </c>
      <c r="C15" s="9">
        <v>0.1</v>
      </c>
      <c r="D15" s="9">
        <v>0.1</v>
      </c>
      <c r="E15" s="9" t="s">
        <v>136</v>
      </c>
      <c r="F15" s="9" t="s">
        <v>136</v>
      </c>
      <c r="G15" s="9" t="s">
        <v>136</v>
      </c>
      <c r="H15" s="9" t="s">
        <v>136</v>
      </c>
      <c r="I15" s="9" t="s">
        <v>136</v>
      </c>
      <c r="J15" s="9" t="s">
        <v>136</v>
      </c>
      <c r="K15" s="9" t="s">
        <v>136</v>
      </c>
      <c r="L15" s="9" t="s">
        <v>136</v>
      </c>
      <c r="M15" s="9" t="s">
        <v>136</v>
      </c>
      <c r="N15" s="9" t="s">
        <v>136</v>
      </c>
    </row>
    <row r="16" spans="1:14" ht="12" customHeight="1">
      <c r="A16" s="4" t="s">
        <v>31</v>
      </c>
      <c r="B16" s="9">
        <v>6.5</v>
      </c>
      <c r="C16" s="9">
        <v>0.1</v>
      </c>
      <c r="D16" s="9" t="s">
        <v>136</v>
      </c>
      <c r="E16" s="9" t="s">
        <v>136</v>
      </c>
      <c r="F16" s="9" t="s">
        <v>136</v>
      </c>
      <c r="G16" s="9" t="s">
        <v>136</v>
      </c>
      <c r="H16" s="9" t="s">
        <v>136</v>
      </c>
      <c r="I16" s="9" t="s">
        <v>136</v>
      </c>
      <c r="J16" s="9" t="s">
        <v>136</v>
      </c>
      <c r="K16" s="9" t="s">
        <v>136</v>
      </c>
      <c r="L16" s="9" t="s">
        <v>136</v>
      </c>
      <c r="M16" s="9" t="s">
        <v>136</v>
      </c>
      <c r="N16" s="9" t="s">
        <v>136</v>
      </c>
    </row>
    <row r="17" spans="1:14" ht="12" customHeight="1">
      <c r="A17" s="4" t="s">
        <v>32</v>
      </c>
      <c r="B17" s="9">
        <v>11.4</v>
      </c>
      <c r="C17" s="9">
        <v>0.3</v>
      </c>
      <c r="D17" s="9">
        <v>0.1</v>
      </c>
      <c r="E17" s="9" t="s">
        <v>136</v>
      </c>
      <c r="F17" s="9" t="s">
        <v>136</v>
      </c>
      <c r="G17" s="9" t="s">
        <v>136</v>
      </c>
      <c r="H17" s="9" t="s">
        <v>136</v>
      </c>
      <c r="I17" s="9" t="s">
        <v>136</v>
      </c>
      <c r="J17" s="9" t="s">
        <v>136</v>
      </c>
      <c r="K17" s="9" t="s">
        <v>136</v>
      </c>
      <c r="L17" s="9" t="s">
        <v>136</v>
      </c>
      <c r="M17" s="9" t="s">
        <v>136</v>
      </c>
      <c r="N17" s="9" t="s">
        <v>136</v>
      </c>
    </row>
    <row r="18" spans="1:14" ht="12" customHeight="1">
      <c r="A18" s="4" t="s">
        <v>33</v>
      </c>
      <c r="B18" s="9">
        <v>16</v>
      </c>
      <c r="C18" s="9">
        <v>1.4</v>
      </c>
      <c r="D18" s="9">
        <v>0.1</v>
      </c>
      <c r="E18" s="9" t="s">
        <v>136</v>
      </c>
      <c r="F18" s="9" t="s">
        <v>136</v>
      </c>
      <c r="G18" s="9" t="s">
        <v>136</v>
      </c>
      <c r="H18" s="9" t="s">
        <v>136</v>
      </c>
      <c r="I18" s="9" t="s">
        <v>136</v>
      </c>
      <c r="J18" s="9" t="s">
        <v>136</v>
      </c>
      <c r="K18" s="9" t="s">
        <v>136</v>
      </c>
      <c r="L18" s="9" t="s">
        <v>136</v>
      </c>
      <c r="M18" s="9" t="s">
        <v>136</v>
      </c>
      <c r="N18" s="9" t="s">
        <v>136</v>
      </c>
    </row>
    <row r="19" spans="1:14" ht="12" customHeight="1">
      <c r="A19" s="4" t="s">
        <v>34</v>
      </c>
      <c r="B19" s="9">
        <v>26.5</v>
      </c>
      <c r="C19" s="9">
        <v>0.9</v>
      </c>
      <c r="D19" s="9" t="s">
        <v>136</v>
      </c>
      <c r="E19" s="9">
        <v>0</v>
      </c>
      <c r="F19" s="9" t="s">
        <v>136</v>
      </c>
      <c r="G19" s="9" t="s">
        <v>136</v>
      </c>
      <c r="H19" s="9" t="s">
        <v>136</v>
      </c>
      <c r="I19" s="9" t="s">
        <v>136</v>
      </c>
      <c r="J19" s="9" t="s">
        <v>136</v>
      </c>
      <c r="K19" s="9" t="s">
        <v>136</v>
      </c>
      <c r="L19" s="9" t="s">
        <v>136</v>
      </c>
      <c r="M19" s="9" t="s">
        <v>136</v>
      </c>
      <c r="N19" s="9" t="s">
        <v>136</v>
      </c>
    </row>
    <row r="20" spans="1:14" ht="12" customHeight="1">
      <c r="A20" s="4" t="s">
        <v>35</v>
      </c>
      <c r="B20" s="9">
        <v>33.299999999999997</v>
      </c>
      <c r="C20" s="9">
        <v>2.2999999999999998</v>
      </c>
      <c r="D20" s="9">
        <v>0.1</v>
      </c>
      <c r="E20" s="9" t="s">
        <v>136</v>
      </c>
      <c r="F20" s="9" t="s">
        <v>136</v>
      </c>
      <c r="G20" s="9" t="s">
        <v>136</v>
      </c>
      <c r="H20" s="9" t="s">
        <v>136</v>
      </c>
      <c r="I20" s="9" t="s">
        <v>136</v>
      </c>
      <c r="J20" s="9" t="s">
        <v>136</v>
      </c>
      <c r="K20" s="9">
        <v>0</v>
      </c>
      <c r="L20" s="9" t="s">
        <v>136</v>
      </c>
      <c r="M20" s="9" t="s">
        <v>136</v>
      </c>
      <c r="N20" s="9" t="s">
        <v>136</v>
      </c>
    </row>
    <row r="21" spans="1:14" ht="12" customHeight="1">
      <c r="A21" s="4" t="s">
        <v>36</v>
      </c>
      <c r="B21" s="9">
        <v>42.6</v>
      </c>
      <c r="C21" s="9">
        <v>4.4000000000000004</v>
      </c>
      <c r="D21" s="9">
        <v>0.4</v>
      </c>
      <c r="E21" s="9" t="s">
        <v>136</v>
      </c>
      <c r="F21" s="9" t="s">
        <v>136</v>
      </c>
      <c r="G21" s="9" t="s">
        <v>136</v>
      </c>
      <c r="H21" s="9" t="s">
        <v>136</v>
      </c>
      <c r="I21" s="9" t="s">
        <v>136</v>
      </c>
      <c r="J21" s="9" t="s">
        <v>136</v>
      </c>
      <c r="K21" s="9" t="s">
        <v>136</v>
      </c>
      <c r="L21" s="9" t="s">
        <v>136</v>
      </c>
      <c r="M21" s="9" t="s">
        <v>136</v>
      </c>
      <c r="N21" s="9" t="s">
        <v>136</v>
      </c>
    </row>
    <row r="22" spans="1:14" ht="12" customHeight="1">
      <c r="A22" s="4" t="s">
        <v>37</v>
      </c>
      <c r="B22" s="9">
        <v>55.6</v>
      </c>
      <c r="C22" s="9">
        <v>7.1</v>
      </c>
      <c r="D22" s="9">
        <v>0.3</v>
      </c>
      <c r="E22" s="9" t="s">
        <v>136</v>
      </c>
      <c r="F22" s="9" t="s">
        <v>136</v>
      </c>
      <c r="G22" s="9" t="s">
        <v>136</v>
      </c>
      <c r="H22" s="9" t="s">
        <v>136</v>
      </c>
      <c r="I22" s="9" t="s">
        <v>136</v>
      </c>
      <c r="J22" s="9" t="s">
        <v>136</v>
      </c>
      <c r="K22" s="9" t="s">
        <v>136</v>
      </c>
      <c r="L22" s="9" t="s">
        <v>136</v>
      </c>
      <c r="M22" s="9" t="s">
        <v>136</v>
      </c>
      <c r="N22" s="9" t="s">
        <v>136</v>
      </c>
    </row>
    <row r="23" spans="1:14" ht="12" customHeight="1">
      <c r="A23" s="4" t="s">
        <v>38</v>
      </c>
      <c r="B23" s="9">
        <v>66</v>
      </c>
      <c r="C23" s="9">
        <v>12.9</v>
      </c>
      <c r="D23" s="9">
        <v>0.7</v>
      </c>
      <c r="E23" s="9">
        <v>0</v>
      </c>
      <c r="F23" s="9" t="s">
        <v>136</v>
      </c>
      <c r="G23" s="9" t="s">
        <v>136</v>
      </c>
      <c r="H23" s="9" t="s">
        <v>136</v>
      </c>
      <c r="I23" s="9" t="s">
        <v>136</v>
      </c>
      <c r="J23" s="9" t="s">
        <v>136</v>
      </c>
      <c r="K23" s="9" t="s">
        <v>136</v>
      </c>
      <c r="L23" s="9" t="s">
        <v>136</v>
      </c>
      <c r="M23" s="9" t="s">
        <v>136</v>
      </c>
      <c r="N23" s="9" t="s">
        <v>136</v>
      </c>
    </row>
    <row r="24" spans="1:14" ht="12" customHeight="1">
      <c r="A24" s="4" t="s">
        <v>39</v>
      </c>
      <c r="B24" s="9">
        <v>77.900000000000006</v>
      </c>
      <c r="C24" s="9">
        <v>17.100000000000001</v>
      </c>
      <c r="D24" s="9">
        <v>0.8</v>
      </c>
      <c r="E24" s="9">
        <v>0.2</v>
      </c>
      <c r="F24" s="9">
        <v>0</v>
      </c>
      <c r="G24" s="9" t="s">
        <v>136</v>
      </c>
      <c r="H24" s="9" t="s">
        <v>136</v>
      </c>
      <c r="I24" s="9" t="s">
        <v>136</v>
      </c>
      <c r="J24" s="9" t="s">
        <v>136</v>
      </c>
      <c r="K24" s="9" t="s">
        <v>136</v>
      </c>
      <c r="L24" s="9" t="s">
        <v>136</v>
      </c>
      <c r="M24" s="9" t="s">
        <v>136</v>
      </c>
      <c r="N24" s="9" t="s">
        <v>136</v>
      </c>
    </row>
    <row r="25" spans="1:14" ht="12" customHeight="1">
      <c r="A25" s="4" t="s">
        <v>40</v>
      </c>
      <c r="B25" s="9">
        <v>80.3</v>
      </c>
      <c r="C25" s="9">
        <v>25.5</v>
      </c>
      <c r="D25" s="9">
        <v>2.2999999999999998</v>
      </c>
      <c r="E25" s="9" t="s">
        <v>136</v>
      </c>
      <c r="F25" s="9" t="s">
        <v>136</v>
      </c>
      <c r="G25" s="9" t="s">
        <v>136</v>
      </c>
      <c r="H25" s="9" t="s">
        <v>136</v>
      </c>
      <c r="I25" s="9" t="s">
        <v>136</v>
      </c>
      <c r="J25" s="9" t="s">
        <v>136</v>
      </c>
      <c r="K25" s="9" t="s">
        <v>136</v>
      </c>
      <c r="L25" s="9" t="s">
        <v>136</v>
      </c>
      <c r="M25" s="9" t="s">
        <v>136</v>
      </c>
      <c r="N25" s="9" t="s">
        <v>136</v>
      </c>
    </row>
    <row r="26" spans="1:14" ht="12" customHeight="1">
      <c r="A26" s="4" t="s">
        <v>41</v>
      </c>
      <c r="B26" s="9">
        <v>84.2</v>
      </c>
      <c r="C26" s="9">
        <v>34.700000000000003</v>
      </c>
      <c r="D26" s="9">
        <v>2.8</v>
      </c>
      <c r="E26" s="9">
        <v>0.7</v>
      </c>
      <c r="F26" s="9" t="s">
        <v>136</v>
      </c>
      <c r="G26" s="9" t="s">
        <v>136</v>
      </c>
      <c r="H26" s="9" t="s">
        <v>136</v>
      </c>
      <c r="I26" s="9" t="s">
        <v>136</v>
      </c>
      <c r="J26" s="9" t="s">
        <v>136</v>
      </c>
      <c r="K26" s="9" t="s">
        <v>136</v>
      </c>
      <c r="L26" s="9" t="s">
        <v>136</v>
      </c>
      <c r="M26" s="9" t="s">
        <v>136</v>
      </c>
      <c r="N26" s="9" t="s">
        <v>136</v>
      </c>
    </row>
    <row r="27" spans="1:14" ht="12" customHeight="1">
      <c r="A27" s="4" t="s">
        <v>42</v>
      </c>
      <c r="B27" s="9">
        <v>84.7</v>
      </c>
      <c r="C27" s="9">
        <v>45.5</v>
      </c>
      <c r="D27" s="9">
        <v>4.5</v>
      </c>
      <c r="E27" s="9">
        <v>0.1</v>
      </c>
      <c r="F27" s="9" t="s">
        <v>136</v>
      </c>
      <c r="G27" s="9" t="s">
        <v>136</v>
      </c>
      <c r="H27" s="9" t="s">
        <v>136</v>
      </c>
      <c r="I27" s="9" t="s">
        <v>136</v>
      </c>
      <c r="J27" s="9" t="s">
        <v>136</v>
      </c>
      <c r="K27" s="9" t="s">
        <v>136</v>
      </c>
      <c r="L27" s="9" t="s">
        <v>136</v>
      </c>
      <c r="M27" s="9" t="s">
        <v>136</v>
      </c>
      <c r="N27" s="9" t="s">
        <v>136</v>
      </c>
    </row>
    <row r="28" spans="1:14" ht="12" customHeight="1">
      <c r="A28" s="4" t="s">
        <v>43</v>
      </c>
      <c r="B28" s="9">
        <v>75.8</v>
      </c>
      <c r="C28" s="9">
        <v>51.9</v>
      </c>
      <c r="D28" s="9">
        <v>9.1999999999999993</v>
      </c>
      <c r="E28" s="9">
        <v>0.6</v>
      </c>
      <c r="F28" s="9" t="s">
        <v>136</v>
      </c>
      <c r="G28" s="9" t="s">
        <v>136</v>
      </c>
      <c r="H28" s="9" t="s">
        <v>136</v>
      </c>
      <c r="I28" s="9" t="s">
        <v>136</v>
      </c>
      <c r="J28" s="9" t="s">
        <v>136</v>
      </c>
      <c r="K28" s="9" t="s">
        <v>136</v>
      </c>
      <c r="L28" s="9" t="s">
        <v>136</v>
      </c>
      <c r="M28" s="9" t="s">
        <v>136</v>
      </c>
      <c r="N28" s="9" t="s">
        <v>136</v>
      </c>
    </row>
    <row r="29" spans="1:14" ht="12" customHeight="1">
      <c r="A29" s="4" t="s">
        <v>44</v>
      </c>
      <c r="B29" s="9">
        <v>69.900000000000006</v>
      </c>
      <c r="C29" s="9">
        <v>64.8</v>
      </c>
      <c r="D29" s="9">
        <v>13.7</v>
      </c>
      <c r="E29" s="9">
        <v>1.3</v>
      </c>
      <c r="F29" s="9">
        <v>0</v>
      </c>
      <c r="G29" s="9" t="s">
        <v>136</v>
      </c>
      <c r="H29" s="9" t="s">
        <v>136</v>
      </c>
      <c r="I29" s="9" t="s">
        <v>136</v>
      </c>
      <c r="J29" s="9" t="s">
        <v>136</v>
      </c>
      <c r="K29" s="9" t="s">
        <v>136</v>
      </c>
      <c r="L29" s="9" t="s">
        <v>136</v>
      </c>
      <c r="M29" s="9" t="s">
        <v>136</v>
      </c>
      <c r="N29" s="9" t="s">
        <v>136</v>
      </c>
    </row>
    <row r="30" spans="1:14" ht="12" customHeight="1">
      <c r="A30" s="4" t="s">
        <v>45</v>
      </c>
      <c r="B30" s="9">
        <v>62.5</v>
      </c>
      <c r="C30" s="9">
        <v>70.8</v>
      </c>
      <c r="D30" s="9">
        <v>19.2</v>
      </c>
      <c r="E30" s="9">
        <v>2.1</v>
      </c>
      <c r="F30" s="9">
        <v>0.1</v>
      </c>
      <c r="G30" s="9" t="s">
        <v>136</v>
      </c>
      <c r="H30" s="9" t="s">
        <v>136</v>
      </c>
      <c r="I30" s="9" t="s">
        <v>136</v>
      </c>
      <c r="J30" s="9" t="s">
        <v>136</v>
      </c>
      <c r="K30" s="9" t="s">
        <v>136</v>
      </c>
      <c r="L30" s="9" t="s">
        <v>136</v>
      </c>
      <c r="M30" s="9" t="s">
        <v>136</v>
      </c>
      <c r="N30" s="9" t="s">
        <v>136</v>
      </c>
    </row>
    <row r="31" spans="1:14" ht="12" customHeight="1">
      <c r="A31" s="4" t="s">
        <v>46</v>
      </c>
      <c r="B31" s="9">
        <v>50.3</v>
      </c>
      <c r="C31" s="9">
        <v>77.5</v>
      </c>
      <c r="D31" s="9">
        <v>26.8</v>
      </c>
      <c r="E31" s="9">
        <v>3.4</v>
      </c>
      <c r="F31" s="9">
        <v>0.1</v>
      </c>
      <c r="G31" s="9" t="s">
        <v>136</v>
      </c>
      <c r="H31" s="9" t="s">
        <v>136</v>
      </c>
      <c r="I31" s="9" t="s">
        <v>136</v>
      </c>
      <c r="J31" s="9" t="s">
        <v>136</v>
      </c>
      <c r="K31" s="9" t="s">
        <v>136</v>
      </c>
      <c r="L31" s="9" t="s">
        <v>136</v>
      </c>
      <c r="M31" s="9" t="s">
        <v>136</v>
      </c>
      <c r="N31" s="9" t="s">
        <v>136</v>
      </c>
    </row>
    <row r="32" spans="1:14" ht="12" customHeight="1">
      <c r="A32" s="4" t="s">
        <v>47</v>
      </c>
      <c r="B32" s="9">
        <v>41.9</v>
      </c>
      <c r="C32" s="9">
        <v>76.400000000000006</v>
      </c>
      <c r="D32" s="9">
        <v>33.1</v>
      </c>
      <c r="E32" s="9">
        <v>4.5</v>
      </c>
      <c r="F32" s="9">
        <v>0.3</v>
      </c>
      <c r="G32" s="9">
        <v>0.1</v>
      </c>
      <c r="H32" s="9" t="s">
        <v>136</v>
      </c>
      <c r="I32" s="9" t="s">
        <v>136</v>
      </c>
      <c r="J32" s="9" t="s">
        <v>136</v>
      </c>
      <c r="K32" s="9" t="s">
        <v>136</v>
      </c>
      <c r="L32" s="9" t="s">
        <v>136</v>
      </c>
      <c r="M32" s="9" t="s">
        <v>136</v>
      </c>
      <c r="N32" s="9" t="s">
        <v>136</v>
      </c>
    </row>
    <row r="33" spans="1:14" ht="12" customHeight="1">
      <c r="A33" s="4" t="s">
        <v>48</v>
      </c>
      <c r="B33" s="9">
        <v>31.4</v>
      </c>
      <c r="C33" s="9">
        <v>80.2</v>
      </c>
      <c r="D33" s="9">
        <v>43.4</v>
      </c>
      <c r="E33" s="9">
        <v>7.7</v>
      </c>
      <c r="F33" s="9">
        <v>0.4</v>
      </c>
      <c r="G33" s="9">
        <v>0</v>
      </c>
      <c r="H33" s="9" t="s">
        <v>136</v>
      </c>
      <c r="I33" s="9" t="s">
        <v>136</v>
      </c>
      <c r="J33" s="9" t="s">
        <v>136</v>
      </c>
      <c r="K33" s="9" t="s">
        <v>136</v>
      </c>
      <c r="L33" s="9" t="s">
        <v>136</v>
      </c>
      <c r="M33" s="9" t="s">
        <v>136</v>
      </c>
      <c r="N33" s="9" t="s">
        <v>136</v>
      </c>
    </row>
    <row r="34" spans="1:14" ht="12" customHeight="1">
      <c r="A34" s="4" t="s">
        <v>49</v>
      </c>
      <c r="B34" s="9">
        <v>23.7</v>
      </c>
      <c r="C34" s="9">
        <v>78</v>
      </c>
      <c r="D34" s="9">
        <v>58.3</v>
      </c>
      <c r="E34" s="9">
        <v>12.9</v>
      </c>
      <c r="F34" s="9">
        <v>1.4</v>
      </c>
      <c r="G34" s="9">
        <v>0</v>
      </c>
      <c r="H34" s="9" t="s">
        <v>136</v>
      </c>
      <c r="I34" s="9" t="s">
        <v>136</v>
      </c>
      <c r="J34" s="9" t="s">
        <v>136</v>
      </c>
      <c r="K34" s="9" t="s">
        <v>136</v>
      </c>
      <c r="L34" s="9" t="s">
        <v>136</v>
      </c>
      <c r="M34" s="9" t="s">
        <v>136</v>
      </c>
      <c r="N34" s="9">
        <v>0</v>
      </c>
    </row>
    <row r="35" spans="1:14" ht="12" customHeight="1">
      <c r="A35" s="4" t="s">
        <v>50</v>
      </c>
      <c r="B35" s="9">
        <v>17.100000000000001</v>
      </c>
      <c r="C35" s="9">
        <v>70.7</v>
      </c>
      <c r="D35" s="9">
        <v>58.8</v>
      </c>
      <c r="E35" s="9">
        <v>16.2</v>
      </c>
      <c r="F35" s="9">
        <v>2.1</v>
      </c>
      <c r="G35" s="9">
        <v>0.1</v>
      </c>
      <c r="H35" s="9" t="s">
        <v>136</v>
      </c>
      <c r="I35" s="9" t="s">
        <v>136</v>
      </c>
      <c r="J35" s="9">
        <v>0</v>
      </c>
      <c r="K35" s="9" t="s">
        <v>136</v>
      </c>
      <c r="L35" s="9" t="s">
        <v>136</v>
      </c>
      <c r="M35" s="9" t="s">
        <v>136</v>
      </c>
      <c r="N35" s="9" t="s">
        <v>136</v>
      </c>
    </row>
    <row r="36" spans="1:14" ht="12" customHeight="1">
      <c r="A36" s="4" t="s">
        <v>51</v>
      </c>
      <c r="B36" s="9">
        <v>13.5</v>
      </c>
      <c r="C36" s="9">
        <v>61.4</v>
      </c>
      <c r="D36" s="9">
        <v>74.7</v>
      </c>
      <c r="E36" s="9">
        <v>25.2</v>
      </c>
      <c r="F36" s="9">
        <v>3.2</v>
      </c>
      <c r="G36" s="9">
        <v>0.2</v>
      </c>
      <c r="H36" s="9">
        <v>0</v>
      </c>
      <c r="I36" s="9" t="s">
        <v>136</v>
      </c>
      <c r="J36" s="9" t="s">
        <v>136</v>
      </c>
      <c r="K36" s="9" t="s">
        <v>136</v>
      </c>
      <c r="L36" s="9" t="s">
        <v>136</v>
      </c>
      <c r="M36" s="9" t="s">
        <v>136</v>
      </c>
      <c r="N36" s="9" t="s">
        <v>136</v>
      </c>
    </row>
    <row r="37" spans="1:14" ht="12" customHeight="1">
      <c r="A37" s="4" t="s">
        <v>52</v>
      </c>
      <c r="B37" s="9">
        <v>8.5</v>
      </c>
      <c r="C37" s="9">
        <v>51.2</v>
      </c>
      <c r="D37" s="9">
        <v>74.099999999999994</v>
      </c>
      <c r="E37" s="9">
        <v>30.7</v>
      </c>
      <c r="F37" s="9">
        <v>5.2</v>
      </c>
      <c r="G37" s="9">
        <v>0.5</v>
      </c>
      <c r="H37" s="9" t="s">
        <v>136</v>
      </c>
      <c r="I37" s="9">
        <v>0</v>
      </c>
      <c r="J37" s="9" t="s">
        <v>136</v>
      </c>
      <c r="K37" s="9" t="s">
        <v>136</v>
      </c>
      <c r="L37" s="9" t="s">
        <v>136</v>
      </c>
      <c r="M37" s="9" t="s">
        <v>136</v>
      </c>
      <c r="N37" s="9" t="s">
        <v>136</v>
      </c>
    </row>
    <row r="38" spans="1:14" ht="12" customHeight="1">
      <c r="A38" s="4" t="s">
        <v>53</v>
      </c>
      <c r="B38" s="9">
        <v>5.8</v>
      </c>
      <c r="C38" s="9">
        <v>40.700000000000003</v>
      </c>
      <c r="D38" s="9">
        <v>73.599999999999994</v>
      </c>
      <c r="E38" s="9">
        <v>36.700000000000003</v>
      </c>
      <c r="F38" s="9">
        <v>7.5</v>
      </c>
      <c r="G38" s="9">
        <v>0.6</v>
      </c>
      <c r="H38" s="9">
        <v>0</v>
      </c>
      <c r="I38" s="9" t="s">
        <v>136</v>
      </c>
      <c r="J38" s="9" t="s">
        <v>136</v>
      </c>
      <c r="K38" s="9" t="s">
        <v>136</v>
      </c>
      <c r="L38" s="9" t="s">
        <v>136</v>
      </c>
      <c r="M38" s="9" t="s">
        <v>136</v>
      </c>
      <c r="N38" s="9" t="s">
        <v>136</v>
      </c>
    </row>
    <row r="39" spans="1:14" ht="12" customHeight="1">
      <c r="A39" s="4" t="s">
        <v>54</v>
      </c>
      <c r="B39" s="9">
        <v>3.3</v>
      </c>
      <c r="C39" s="9">
        <v>35.1</v>
      </c>
      <c r="D39" s="9">
        <v>76</v>
      </c>
      <c r="E39" s="9">
        <v>45</v>
      </c>
      <c r="F39" s="9">
        <v>10.3</v>
      </c>
      <c r="G39" s="9">
        <v>1.2</v>
      </c>
      <c r="H39" s="9">
        <v>0.2</v>
      </c>
      <c r="I39" s="9">
        <v>0</v>
      </c>
      <c r="J39" s="9" t="s">
        <v>136</v>
      </c>
      <c r="K39" s="9" t="s">
        <v>136</v>
      </c>
      <c r="L39" s="9" t="s">
        <v>136</v>
      </c>
      <c r="M39" s="9" t="s">
        <v>136</v>
      </c>
      <c r="N39" s="9" t="s">
        <v>136</v>
      </c>
    </row>
    <row r="40" spans="1:14" ht="12" customHeight="1">
      <c r="A40" s="4" t="s">
        <v>55</v>
      </c>
      <c r="B40" s="9">
        <v>1.8</v>
      </c>
      <c r="C40" s="9">
        <v>31.8</v>
      </c>
      <c r="D40" s="9">
        <v>72.400000000000006</v>
      </c>
      <c r="E40" s="9">
        <v>53.1</v>
      </c>
      <c r="F40" s="9">
        <v>12.5</v>
      </c>
      <c r="G40" s="9">
        <v>0.8</v>
      </c>
      <c r="H40" s="9">
        <v>0.3</v>
      </c>
      <c r="I40" s="9" t="s">
        <v>136</v>
      </c>
      <c r="J40" s="9" t="s">
        <v>136</v>
      </c>
      <c r="K40" s="9" t="s">
        <v>136</v>
      </c>
      <c r="L40" s="9" t="s">
        <v>136</v>
      </c>
      <c r="M40" s="9" t="s">
        <v>136</v>
      </c>
      <c r="N40" s="9" t="s">
        <v>136</v>
      </c>
    </row>
    <row r="41" spans="1:14" ht="12" customHeight="1">
      <c r="A41" s="4" t="s">
        <v>56</v>
      </c>
      <c r="B41" s="9">
        <v>0.4</v>
      </c>
      <c r="C41" s="9">
        <v>17.600000000000001</v>
      </c>
      <c r="D41" s="9">
        <v>64.8</v>
      </c>
      <c r="E41" s="9">
        <v>57.7</v>
      </c>
      <c r="F41" s="9">
        <v>18.8</v>
      </c>
      <c r="G41" s="9">
        <v>1.8</v>
      </c>
      <c r="H41" s="9">
        <v>0.2</v>
      </c>
      <c r="I41" s="9" t="s">
        <v>136</v>
      </c>
      <c r="J41" s="9" t="s">
        <v>136</v>
      </c>
      <c r="K41" s="9" t="s">
        <v>136</v>
      </c>
      <c r="L41" s="9" t="s">
        <v>136</v>
      </c>
      <c r="M41" s="9" t="s">
        <v>136</v>
      </c>
      <c r="N41" s="9" t="s">
        <v>136</v>
      </c>
    </row>
    <row r="42" spans="1:14" ht="12" customHeight="1">
      <c r="A42" s="4" t="s">
        <v>57</v>
      </c>
      <c r="B42" s="9">
        <v>0.6</v>
      </c>
      <c r="C42" s="9">
        <v>11.9</v>
      </c>
      <c r="D42" s="9">
        <v>61.3</v>
      </c>
      <c r="E42" s="9">
        <v>65.900000000000006</v>
      </c>
      <c r="F42" s="9">
        <v>23</v>
      </c>
      <c r="G42" s="9">
        <v>2.8</v>
      </c>
      <c r="H42" s="9">
        <v>0.2</v>
      </c>
      <c r="I42" s="9" t="s">
        <v>136</v>
      </c>
      <c r="J42" s="9" t="s">
        <v>136</v>
      </c>
      <c r="K42" s="9" t="s">
        <v>136</v>
      </c>
      <c r="L42" s="9" t="s">
        <v>136</v>
      </c>
      <c r="M42" s="9" t="s">
        <v>136</v>
      </c>
      <c r="N42" s="9" t="s">
        <v>136</v>
      </c>
    </row>
    <row r="43" spans="1:14" ht="12" customHeight="1">
      <c r="A43" s="4" t="s">
        <v>58</v>
      </c>
      <c r="B43" s="9">
        <v>0.6</v>
      </c>
      <c r="C43" s="9">
        <v>11.4</v>
      </c>
      <c r="D43" s="9">
        <v>53.8</v>
      </c>
      <c r="E43" s="9">
        <v>69.3</v>
      </c>
      <c r="F43" s="9">
        <v>30.3</v>
      </c>
      <c r="G43" s="9">
        <v>4.4000000000000004</v>
      </c>
      <c r="H43" s="9">
        <v>0.4</v>
      </c>
      <c r="I43" s="9">
        <v>0.1</v>
      </c>
      <c r="J43" s="9" t="s">
        <v>136</v>
      </c>
      <c r="K43" s="9" t="s">
        <v>136</v>
      </c>
      <c r="L43" s="9" t="s">
        <v>136</v>
      </c>
      <c r="M43" s="9" t="s">
        <v>136</v>
      </c>
      <c r="N43" s="9" t="s">
        <v>136</v>
      </c>
    </row>
    <row r="44" spans="1:14" ht="12" customHeight="1">
      <c r="A44" s="4" t="s">
        <v>59</v>
      </c>
      <c r="B44" s="9">
        <v>0.1</v>
      </c>
      <c r="C44" s="9">
        <v>6</v>
      </c>
      <c r="D44" s="9">
        <v>44.5</v>
      </c>
      <c r="E44" s="9">
        <v>74.400000000000006</v>
      </c>
      <c r="F44" s="9">
        <v>39.1</v>
      </c>
      <c r="G44" s="9">
        <v>6</v>
      </c>
      <c r="H44" s="9">
        <v>0.7</v>
      </c>
      <c r="I44" s="9">
        <v>0</v>
      </c>
      <c r="J44" s="9">
        <v>0</v>
      </c>
      <c r="K44" s="9" t="s">
        <v>136</v>
      </c>
      <c r="L44" s="9" t="s">
        <v>136</v>
      </c>
      <c r="M44" s="9" t="s">
        <v>136</v>
      </c>
      <c r="N44" s="9" t="s">
        <v>136</v>
      </c>
    </row>
    <row r="45" spans="1:14" ht="12" customHeight="1">
      <c r="A45" s="4" t="s">
        <v>60</v>
      </c>
      <c r="B45" s="9">
        <v>0.1</v>
      </c>
      <c r="C45" s="9">
        <v>4.5</v>
      </c>
      <c r="D45" s="9">
        <v>36.1</v>
      </c>
      <c r="E45" s="9">
        <v>74.7</v>
      </c>
      <c r="F45" s="9">
        <v>44.5</v>
      </c>
      <c r="G45" s="9">
        <v>11.9</v>
      </c>
      <c r="H45" s="9">
        <v>1.2</v>
      </c>
      <c r="I45" s="9">
        <v>0</v>
      </c>
      <c r="J45" s="9" t="s">
        <v>136</v>
      </c>
      <c r="K45" s="9" t="s">
        <v>136</v>
      </c>
      <c r="L45" s="9" t="s">
        <v>136</v>
      </c>
      <c r="M45" s="9" t="s">
        <v>136</v>
      </c>
      <c r="N45" s="9" t="s">
        <v>136</v>
      </c>
    </row>
    <row r="46" spans="1:14" ht="12" customHeight="1">
      <c r="A46" s="4" t="s">
        <v>61</v>
      </c>
      <c r="B46" s="9">
        <v>0</v>
      </c>
      <c r="C46" s="9">
        <v>1.8</v>
      </c>
      <c r="D46" s="9">
        <v>27.4</v>
      </c>
      <c r="E46" s="9">
        <v>69.8</v>
      </c>
      <c r="F46" s="9">
        <v>47.8</v>
      </c>
      <c r="G46" s="9">
        <v>13.9</v>
      </c>
      <c r="H46" s="9">
        <v>1.3</v>
      </c>
      <c r="I46" s="9">
        <v>0.1</v>
      </c>
      <c r="J46" s="9">
        <v>0</v>
      </c>
      <c r="K46" s="9" t="s">
        <v>136</v>
      </c>
      <c r="L46" s="9" t="s">
        <v>136</v>
      </c>
      <c r="M46" s="9" t="s">
        <v>136</v>
      </c>
      <c r="N46" s="9" t="s">
        <v>136</v>
      </c>
    </row>
    <row r="47" spans="1:14" ht="12" customHeight="1">
      <c r="A47" s="4" t="s">
        <v>62</v>
      </c>
      <c r="B47" s="9">
        <v>0</v>
      </c>
      <c r="C47" s="9">
        <v>1.2</v>
      </c>
      <c r="D47" s="9">
        <v>21.4</v>
      </c>
      <c r="E47" s="9">
        <v>62.2</v>
      </c>
      <c r="F47" s="9">
        <v>58.2</v>
      </c>
      <c r="G47" s="9">
        <v>18</v>
      </c>
      <c r="H47" s="9">
        <v>3</v>
      </c>
      <c r="I47" s="9">
        <v>0.4</v>
      </c>
      <c r="J47" s="9" t="s">
        <v>136</v>
      </c>
      <c r="K47" s="9" t="s">
        <v>136</v>
      </c>
      <c r="L47" s="9">
        <v>0.2</v>
      </c>
      <c r="M47" s="9" t="s">
        <v>136</v>
      </c>
      <c r="N47" s="9" t="s">
        <v>136</v>
      </c>
    </row>
    <row r="48" spans="1:14" ht="12" customHeight="1">
      <c r="A48" s="4" t="s">
        <v>63</v>
      </c>
      <c r="B48" s="9">
        <v>0.1</v>
      </c>
      <c r="C48" s="9">
        <v>1.4</v>
      </c>
      <c r="D48" s="9">
        <v>14.3</v>
      </c>
      <c r="E48" s="9">
        <v>52.8</v>
      </c>
      <c r="F48" s="9">
        <v>60.5</v>
      </c>
      <c r="G48" s="9">
        <v>22.4</v>
      </c>
      <c r="H48" s="9">
        <v>4.2</v>
      </c>
      <c r="I48" s="9">
        <v>0.1</v>
      </c>
      <c r="J48" s="9">
        <v>0</v>
      </c>
      <c r="K48" s="9" t="s">
        <v>136</v>
      </c>
      <c r="L48" s="9" t="s">
        <v>136</v>
      </c>
      <c r="M48" s="9" t="s">
        <v>136</v>
      </c>
      <c r="N48" s="9" t="s">
        <v>136</v>
      </c>
    </row>
    <row r="49" spans="1:14" ht="12" customHeight="1">
      <c r="A49" s="4" t="s">
        <v>64</v>
      </c>
      <c r="B49" s="9" t="s">
        <v>136</v>
      </c>
      <c r="C49" s="9">
        <v>0.8</v>
      </c>
      <c r="D49" s="9">
        <v>9.3000000000000007</v>
      </c>
      <c r="E49" s="9">
        <v>48.2</v>
      </c>
      <c r="F49" s="9">
        <v>68.3</v>
      </c>
      <c r="G49" s="9">
        <v>28.1</v>
      </c>
      <c r="H49" s="9">
        <v>5.2</v>
      </c>
      <c r="I49" s="9">
        <v>0.3</v>
      </c>
      <c r="J49" s="9">
        <v>0.1</v>
      </c>
      <c r="K49" s="9" t="s">
        <v>136</v>
      </c>
      <c r="L49" s="9" t="s">
        <v>136</v>
      </c>
      <c r="M49" s="9" t="s">
        <v>136</v>
      </c>
      <c r="N49" s="9" t="s">
        <v>136</v>
      </c>
    </row>
    <row r="50" spans="1:14" ht="12" customHeight="1">
      <c r="A50" s="4" t="s">
        <v>65</v>
      </c>
      <c r="B50" s="9" t="s">
        <v>136</v>
      </c>
      <c r="C50" s="9">
        <v>0.4</v>
      </c>
      <c r="D50" s="9">
        <v>6.9</v>
      </c>
      <c r="E50" s="9">
        <v>42.7</v>
      </c>
      <c r="F50" s="9">
        <v>68.8</v>
      </c>
      <c r="G50" s="9">
        <v>32</v>
      </c>
      <c r="H50" s="9">
        <v>6.9</v>
      </c>
      <c r="I50" s="9">
        <v>0.9</v>
      </c>
      <c r="J50" s="9">
        <v>0.1</v>
      </c>
      <c r="K50" s="9">
        <v>0</v>
      </c>
      <c r="L50" s="9">
        <v>0</v>
      </c>
      <c r="M50" s="9" t="s">
        <v>136</v>
      </c>
      <c r="N50" s="9" t="s">
        <v>136</v>
      </c>
    </row>
    <row r="51" spans="1:14" ht="12" customHeight="1">
      <c r="A51" s="4" t="s">
        <v>66</v>
      </c>
      <c r="B51" s="9" t="s">
        <v>136</v>
      </c>
      <c r="C51" s="9">
        <v>0.1</v>
      </c>
      <c r="D51" s="9">
        <v>4.5</v>
      </c>
      <c r="E51" s="9">
        <v>32.1</v>
      </c>
      <c r="F51" s="9">
        <v>60.4</v>
      </c>
      <c r="G51" s="9">
        <v>36.700000000000003</v>
      </c>
      <c r="H51" s="9">
        <v>9.9</v>
      </c>
      <c r="I51" s="9">
        <v>0.9</v>
      </c>
      <c r="J51" s="9">
        <v>0</v>
      </c>
      <c r="K51" s="9">
        <v>0</v>
      </c>
      <c r="L51" s="9">
        <v>0</v>
      </c>
      <c r="M51" s="9">
        <v>0.1</v>
      </c>
      <c r="N51" s="9">
        <v>0</v>
      </c>
    </row>
    <row r="52" spans="1:14" ht="12" customHeight="1">
      <c r="A52" s="4" t="s">
        <v>67</v>
      </c>
      <c r="B52" s="9" t="s">
        <v>136</v>
      </c>
      <c r="C52" s="9">
        <v>0.1</v>
      </c>
      <c r="D52" s="9">
        <v>3.9</v>
      </c>
      <c r="E52" s="9">
        <v>25.7</v>
      </c>
      <c r="F52" s="9">
        <v>59.5</v>
      </c>
      <c r="G52" s="9">
        <v>43.2</v>
      </c>
      <c r="H52" s="9">
        <v>12.5</v>
      </c>
      <c r="I52" s="9">
        <v>1.4</v>
      </c>
      <c r="J52" s="9">
        <v>0.2</v>
      </c>
      <c r="K52" s="9">
        <v>0</v>
      </c>
      <c r="L52" s="9">
        <v>0.1</v>
      </c>
      <c r="M52" s="9" t="s">
        <v>136</v>
      </c>
      <c r="N52" s="9">
        <v>0.1</v>
      </c>
    </row>
    <row r="53" spans="1:14" ht="12" customHeight="1">
      <c r="A53" s="4" t="s">
        <v>68</v>
      </c>
      <c r="B53" s="9" t="s">
        <v>136</v>
      </c>
      <c r="C53" s="9" t="s">
        <v>136</v>
      </c>
      <c r="D53" s="9">
        <v>2.2999999999999998</v>
      </c>
      <c r="E53" s="9">
        <v>20.7</v>
      </c>
      <c r="F53" s="9">
        <v>54.6</v>
      </c>
      <c r="G53" s="9">
        <v>48.1</v>
      </c>
      <c r="H53" s="9">
        <v>13.6</v>
      </c>
      <c r="I53" s="9">
        <v>1.6</v>
      </c>
      <c r="J53" s="9">
        <v>0.4</v>
      </c>
      <c r="K53" s="9">
        <v>0.1</v>
      </c>
      <c r="L53" s="9">
        <v>0.1</v>
      </c>
      <c r="M53" s="9" t="s">
        <v>136</v>
      </c>
      <c r="N53" s="9">
        <v>0.2</v>
      </c>
    </row>
    <row r="54" spans="1:14" ht="12" customHeight="1">
      <c r="A54" s="4" t="s">
        <v>69</v>
      </c>
      <c r="B54" s="9" t="s">
        <v>136</v>
      </c>
      <c r="C54" s="9" t="s">
        <v>136</v>
      </c>
      <c r="D54" s="9">
        <v>2</v>
      </c>
      <c r="E54" s="9">
        <v>16</v>
      </c>
      <c r="F54" s="9">
        <v>51.3</v>
      </c>
      <c r="G54" s="9">
        <v>48.6</v>
      </c>
      <c r="H54" s="9">
        <v>17.100000000000001</v>
      </c>
      <c r="I54" s="9">
        <v>2.4</v>
      </c>
      <c r="J54" s="9">
        <v>0.2</v>
      </c>
      <c r="K54" s="9">
        <v>0</v>
      </c>
      <c r="L54" s="9">
        <v>0</v>
      </c>
      <c r="M54" s="9" t="s">
        <v>136</v>
      </c>
      <c r="N54" s="9">
        <v>0</v>
      </c>
    </row>
    <row r="55" spans="1:14" ht="12" customHeight="1">
      <c r="A55" s="4" t="s">
        <v>70</v>
      </c>
      <c r="B55" s="9" t="s">
        <v>136</v>
      </c>
      <c r="C55" s="9" t="s">
        <v>136</v>
      </c>
      <c r="D55" s="9">
        <v>0.7</v>
      </c>
      <c r="E55" s="9">
        <v>13.3</v>
      </c>
      <c r="F55" s="9">
        <v>46.4</v>
      </c>
      <c r="G55" s="9">
        <v>56.3</v>
      </c>
      <c r="H55" s="9">
        <v>22</v>
      </c>
      <c r="I55" s="9">
        <v>3.5</v>
      </c>
      <c r="J55" s="9">
        <v>0.6</v>
      </c>
      <c r="K55" s="9">
        <v>0.3</v>
      </c>
      <c r="L55" s="9">
        <v>0.1</v>
      </c>
      <c r="M55" s="9">
        <v>0</v>
      </c>
      <c r="N55" s="9">
        <v>0.2</v>
      </c>
    </row>
    <row r="56" spans="1:14" ht="12" customHeight="1">
      <c r="A56" s="4" t="s">
        <v>71</v>
      </c>
      <c r="B56" s="9" t="s">
        <v>136</v>
      </c>
      <c r="C56" s="9">
        <v>0</v>
      </c>
      <c r="D56" s="9">
        <v>0.6</v>
      </c>
      <c r="E56" s="9">
        <v>9.1999999999999993</v>
      </c>
      <c r="F56" s="9">
        <v>42</v>
      </c>
      <c r="G56" s="9">
        <v>54.6</v>
      </c>
      <c r="H56" s="9">
        <v>26.4</v>
      </c>
      <c r="I56" s="9">
        <v>5.9</v>
      </c>
      <c r="J56" s="9">
        <v>0.8</v>
      </c>
      <c r="K56" s="9">
        <v>0.2</v>
      </c>
      <c r="L56" s="9">
        <v>0.3</v>
      </c>
      <c r="M56" s="9">
        <v>0.2</v>
      </c>
      <c r="N56" s="9">
        <v>0.2</v>
      </c>
    </row>
    <row r="57" spans="1:14" ht="12" customHeight="1">
      <c r="A57" s="4" t="s">
        <v>72</v>
      </c>
      <c r="B57" s="9" t="s">
        <v>136</v>
      </c>
      <c r="C57" s="9" t="s">
        <v>136</v>
      </c>
      <c r="D57" s="9">
        <v>0.4</v>
      </c>
      <c r="E57" s="9">
        <v>7.4</v>
      </c>
      <c r="F57" s="9">
        <v>37</v>
      </c>
      <c r="G57" s="9">
        <v>58.5</v>
      </c>
      <c r="H57" s="9">
        <v>30.5</v>
      </c>
      <c r="I57" s="9">
        <v>8.4</v>
      </c>
      <c r="J57" s="9">
        <v>1.3</v>
      </c>
      <c r="K57" s="9">
        <v>0.6</v>
      </c>
      <c r="L57" s="9">
        <v>0.8</v>
      </c>
      <c r="M57" s="9">
        <v>0.2</v>
      </c>
      <c r="N57" s="9">
        <v>0.4</v>
      </c>
    </row>
    <row r="58" spans="1:14" ht="12" customHeight="1">
      <c r="A58" s="4" t="s">
        <v>73</v>
      </c>
      <c r="B58" s="9" t="s">
        <v>136</v>
      </c>
      <c r="C58" s="9" t="s">
        <v>136</v>
      </c>
      <c r="D58" s="9">
        <v>0.1</v>
      </c>
      <c r="E58" s="9">
        <v>6.1</v>
      </c>
      <c r="F58" s="9">
        <v>31.6</v>
      </c>
      <c r="G58" s="9">
        <v>56.1</v>
      </c>
      <c r="H58" s="9">
        <v>36.299999999999997</v>
      </c>
      <c r="I58" s="9">
        <v>9.1999999999999993</v>
      </c>
      <c r="J58" s="9">
        <v>3.1</v>
      </c>
      <c r="K58" s="9">
        <v>1.6</v>
      </c>
      <c r="L58" s="9">
        <v>0.8</v>
      </c>
      <c r="M58" s="9">
        <v>0.6</v>
      </c>
      <c r="N58" s="9">
        <v>0.4</v>
      </c>
    </row>
    <row r="59" spans="1:14" ht="12" customHeight="1">
      <c r="A59" s="4" t="s">
        <v>74</v>
      </c>
      <c r="B59" s="9" t="s">
        <v>136</v>
      </c>
      <c r="C59" s="9" t="s">
        <v>136</v>
      </c>
      <c r="D59" s="9">
        <v>0.2</v>
      </c>
      <c r="E59" s="9">
        <v>4.0999999999999996</v>
      </c>
      <c r="F59" s="9">
        <v>25.5</v>
      </c>
      <c r="G59" s="9">
        <v>54.7</v>
      </c>
      <c r="H59" s="9">
        <v>41.9</v>
      </c>
      <c r="I59" s="9">
        <v>13.6</v>
      </c>
      <c r="J59" s="9">
        <v>4.2</v>
      </c>
      <c r="K59" s="9">
        <v>1.9</v>
      </c>
      <c r="L59" s="9">
        <v>1.6</v>
      </c>
      <c r="M59" s="9">
        <v>1.2</v>
      </c>
      <c r="N59" s="9">
        <v>1</v>
      </c>
    </row>
    <row r="60" spans="1:14" ht="12" customHeight="1">
      <c r="A60" s="4" t="s">
        <v>75</v>
      </c>
      <c r="B60" s="9" t="s">
        <v>136</v>
      </c>
      <c r="C60" s="9" t="s">
        <v>136</v>
      </c>
      <c r="D60" s="9" t="s">
        <v>136</v>
      </c>
      <c r="E60" s="9">
        <v>2.2000000000000002</v>
      </c>
      <c r="F60" s="9">
        <v>18.600000000000001</v>
      </c>
      <c r="G60" s="9">
        <v>50.2</v>
      </c>
      <c r="H60" s="9">
        <v>42.9</v>
      </c>
      <c r="I60" s="9">
        <v>18.100000000000001</v>
      </c>
      <c r="J60" s="9">
        <v>5.5</v>
      </c>
      <c r="K60" s="9">
        <v>3.2</v>
      </c>
      <c r="L60" s="9">
        <v>1.8</v>
      </c>
      <c r="M60" s="9">
        <v>1.7</v>
      </c>
      <c r="N60" s="9">
        <v>1.6</v>
      </c>
    </row>
    <row r="61" spans="1:14" ht="12" customHeight="1">
      <c r="A61" s="4" t="s">
        <v>76</v>
      </c>
      <c r="B61" s="9" t="s">
        <v>136</v>
      </c>
      <c r="C61" s="9" t="s">
        <v>136</v>
      </c>
      <c r="D61" s="9">
        <v>0.2</v>
      </c>
      <c r="E61" s="9">
        <v>1.6</v>
      </c>
      <c r="F61" s="9">
        <v>17.7</v>
      </c>
      <c r="G61" s="9">
        <v>51.7</v>
      </c>
      <c r="H61" s="9">
        <v>48.2</v>
      </c>
      <c r="I61" s="9">
        <v>23</v>
      </c>
      <c r="J61" s="9">
        <v>9.1999999999999993</v>
      </c>
      <c r="K61" s="9">
        <v>4.8</v>
      </c>
      <c r="L61" s="9">
        <v>3.8</v>
      </c>
      <c r="M61" s="9">
        <v>3.1</v>
      </c>
      <c r="N61" s="9">
        <v>2.7</v>
      </c>
    </row>
    <row r="62" spans="1:14" ht="12" customHeight="1">
      <c r="A62" s="4" t="s">
        <v>77</v>
      </c>
      <c r="B62" s="9" t="s">
        <v>136</v>
      </c>
      <c r="C62" s="9" t="s">
        <v>136</v>
      </c>
      <c r="D62" s="9" t="s">
        <v>136</v>
      </c>
      <c r="E62" s="9">
        <v>1.3</v>
      </c>
      <c r="F62" s="9">
        <v>13.1</v>
      </c>
      <c r="G62" s="9">
        <v>42.7</v>
      </c>
      <c r="H62" s="9">
        <v>54.7</v>
      </c>
      <c r="I62" s="9">
        <v>27.5</v>
      </c>
      <c r="J62" s="9">
        <v>12.2</v>
      </c>
      <c r="K62" s="9">
        <v>6.4</v>
      </c>
      <c r="L62" s="9">
        <v>6.1</v>
      </c>
      <c r="M62" s="9">
        <v>3.7</v>
      </c>
      <c r="N62" s="9">
        <v>4.5999999999999996</v>
      </c>
    </row>
    <row r="63" spans="1:14" ht="12" customHeight="1">
      <c r="A63" s="4" t="s">
        <v>78</v>
      </c>
      <c r="B63" s="9" t="s">
        <v>136</v>
      </c>
      <c r="C63" s="9" t="s">
        <v>136</v>
      </c>
      <c r="D63" s="9" t="s">
        <v>136</v>
      </c>
      <c r="E63" s="9">
        <v>0.8</v>
      </c>
      <c r="F63" s="9">
        <v>10.1</v>
      </c>
      <c r="G63" s="9">
        <v>40.1</v>
      </c>
      <c r="H63" s="9">
        <v>55.2</v>
      </c>
      <c r="I63" s="9">
        <v>35.799999999999997</v>
      </c>
      <c r="J63" s="9">
        <v>17.7</v>
      </c>
      <c r="K63" s="9">
        <v>11.6</v>
      </c>
      <c r="L63" s="9">
        <v>9.3000000000000007</v>
      </c>
      <c r="M63" s="9">
        <v>6.1</v>
      </c>
      <c r="N63" s="9">
        <v>5</v>
      </c>
    </row>
    <row r="64" spans="1:14" ht="12" customHeight="1">
      <c r="A64" s="4" t="s">
        <v>79</v>
      </c>
      <c r="B64" s="9" t="s">
        <v>136</v>
      </c>
      <c r="C64" s="9" t="s">
        <v>136</v>
      </c>
      <c r="D64" s="9" t="s">
        <v>136</v>
      </c>
      <c r="E64" s="9">
        <v>0.5</v>
      </c>
      <c r="F64" s="9">
        <v>7.5</v>
      </c>
      <c r="G64" s="9">
        <v>40.5</v>
      </c>
      <c r="H64" s="9">
        <v>56.5</v>
      </c>
      <c r="I64" s="9">
        <v>41.6</v>
      </c>
      <c r="J64" s="9">
        <v>23.6</v>
      </c>
      <c r="K64" s="9">
        <v>16.3</v>
      </c>
      <c r="L64" s="9">
        <v>11.1</v>
      </c>
      <c r="M64" s="9">
        <v>11.5</v>
      </c>
      <c r="N64" s="9">
        <v>9</v>
      </c>
    </row>
    <row r="65" spans="1:14" ht="12" customHeight="1">
      <c r="A65" s="4" t="s">
        <v>80</v>
      </c>
      <c r="B65" s="9" t="s">
        <v>136</v>
      </c>
      <c r="C65" s="9" t="s">
        <v>136</v>
      </c>
      <c r="D65" s="9" t="s">
        <v>136</v>
      </c>
      <c r="E65" s="9">
        <v>0.3</v>
      </c>
      <c r="F65" s="9">
        <v>7.9</v>
      </c>
      <c r="G65" s="9">
        <v>32.4</v>
      </c>
      <c r="H65" s="9">
        <v>60.5</v>
      </c>
      <c r="I65" s="9">
        <v>49</v>
      </c>
      <c r="J65" s="9">
        <v>31.8</v>
      </c>
      <c r="K65" s="9">
        <v>22.8</v>
      </c>
      <c r="L65" s="9">
        <v>18.399999999999999</v>
      </c>
      <c r="M65" s="9">
        <v>13</v>
      </c>
      <c r="N65" s="9">
        <v>13.4</v>
      </c>
    </row>
    <row r="66" spans="1:14" ht="12" customHeight="1">
      <c r="A66" s="4" t="s">
        <v>81</v>
      </c>
      <c r="B66" s="9" t="s">
        <v>136</v>
      </c>
      <c r="C66" s="9" t="s">
        <v>136</v>
      </c>
      <c r="D66" s="9" t="s">
        <v>136</v>
      </c>
      <c r="E66" s="9">
        <v>0.1</v>
      </c>
      <c r="F66" s="9">
        <v>5.2</v>
      </c>
      <c r="G66" s="9">
        <v>30</v>
      </c>
      <c r="H66" s="9">
        <v>56.5</v>
      </c>
      <c r="I66" s="9">
        <v>57</v>
      </c>
      <c r="J66" s="9">
        <v>40.200000000000003</v>
      </c>
      <c r="K66" s="9">
        <v>28</v>
      </c>
      <c r="L66" s="9">
        <v>26.4</v>
      </c>
      <c r="M66" s="9">
        <v>20.8</v>
      </c>
      <c r="N66" s="9">
        <v>19.100000000000001</v>
      </c>
    </row>
    <row r="67" spans="1:14" ht="12" customHeight="1">
      <c r="A67" s="4" t="s">
        <v>82</v>
      </c>
      <c r="B67" s="9" t="s">
        <v>136</v>
      </c>
      <c r="C67" s="9" t="s">
        <v>136</v>
      </c>
      <c r="D67" s="9" t="s">
        <v>136</v>
      </c>
      <c r="E67" s="9">
        <v>0.1</v>
      </c>
      <c r="F67" s="9">
        <v>3.3</v>
      </c>
      <c r="G67" s="9">
        <v>24</v>
      </c>
      <c r="H67" s="9">
        <v>58</v>
      </c>
      <c r="I67" s="9">
        <v>60</v>
      </c>
      <c r="J67" s="9">
        <v>49.3</v>
      </c>
      <c r="K67" s="9">
        <v>37.200000000000003</v>
      </c>
      <c r="L67" s="9">
        <v>32.799999999999997</v>
      </c>
      <c r="M67" s="9">
        <v>27.8</v>
      </c>
      <c r="N67" s="9">
        <v>24.7</v>
      </c>
    </row>
    <row r="68" spans="1:14" ht="12" customHeight="1">
      <c r="A68" s="4" t="s">
        <v>83</v>
      </c>
      <c r="B68" s="9" t="s">
        <v>136</v>
      </c>
      <c r="C68" s="9" t="s">
        <v>136</v>
      </c>
      <c r="D68" s="9" t="s">
        <v>136</v>
      </c>
      <c r="E68" s="9">
        <v>0.2</v>
      </c>
      <c r="F68" s="9">
        <v>1.8</v>
      </c>
      <c r="G68" s="9">
        <v>21.3</v>
      </c>
      <c r="H68" s="9">
        <v>53.6</v>
      </c>
      <c r="I68" s="9">
        <v>65.8</v>
      </c>
      <c r="J68" s="9">
        <v>55.9</v>
      </c>
      <c r="K68" s="9">
        <v>42.9</v>
      </c>
      <c r="L68" s="9">
        <v>40.700000000000003</v>
      </c>
      <c r="M68" s="9">
        <v>35</v>
      </c>
      <c r="N68" s="9">
        <v>32.299999999999997</v>
      </c>
    </row>
    <row r="69" spans="1:14" ht="12" customHeight="1">
      <c r="A69" s="4" t="s">
        <v>84</v>
      </c>
      <c r="B69" s="9" t="s">
        <v>136</v>
      </c>
      <c r="C69" s="9" t="s">
        <v>136</v>
      </c>
      <c r="D69" s="9" t="s">
        <v>136</v>
      </c>
      <c r="E69" s="9">
        <v>0.2</v>
      </c>
      <c r="F69" s="9">
        <v>1.4</v>
      </c>
      <c r="G69" s="9">
        <v>17</v>
      </c>
      <c r="H69" s="9">
        <v>52</v>
      </c>
      <c r="I69" s="9">
        <v>73.599999999999994</v>
      </c>
      <c r="J69" s="9">
        <v>64.599999999999994</v>
      </c>
      <c r="K69" s="9">
        <v>52.7</v>
      </c>
      <c r="L69" s="9">
        <v>50.3</v>
      </c>
      <c r="M69" s="9">
        <v>47.5</v>
      </c>
      <c r="N69" s="9">
        <v>44.2</v>
      </c>
    </row>
    <row r="70" spans="1:14" ht="12" customHeight="1">
      <c r="A70" s="4" t="s">
        <v>85</v>
      </c>
      <c r="B70" s="9" t="s">
        <v>136</v>
      </c>
      <c r="C70" s="9" t="s">
        <v>136</v>
      </c>
      <c r="D70" s="9" t="s">
        <v>136</v>
      </c>
      <c r="E70" s="9">
        <v>0</v>
      </c>
      <c r="F70" s="9">
        <v>0.8</v>
      </c>
      <c r="G70" s="9">
        <v>14.4</v>
      </c>
      <c r="H70" s="9">
        <v>47.3</v>
      </c>
      <c r="I70" s="9">
        <v>71.400000000000006</v>
      </c>
      <c r="J70" s="9">
        <v>71.2</v>
      </c>
      <c r="K70" s="9">
        <v>64.099999999999994</v>
      </c>
      <c r="L70" s="9">
        <v>57.4</v>
      </c>
      <c r="M70" s="9">
        <v>52.8</v>
      </c>
      <c r="N70" s="9">
        <v>47.9</v>
      </c>
    </row>
    <row r="71" spans="1:14" ht="12" customHeight="1">
      <c r="A71" s="4" t="s">
        <v>86</v>
      </c>
      <c r="B71" s="9" t="s">
        <v>136</v>
      </c>
      <c r="C71" s="9" t="s">
        <v>136</v>
      </c>
      <c r="D71" s="9" t="s">
        <v>136</v>
      </c>
      <c r="E71" s="9" t="s">
        <v>136</v>
      </c>
      <c r="F71" s="9">
        <v>0.4</v>
      </c>
      <c r="G71" s="9">
        <v>10.8</v>
      </c>
      <c r="H71" s="9">
        <v>41.5</v>
      </c>
      <c r="I71" s="9">
        <v>69.400000000000006</v>
      </c>
      <c r="J71" s="9">
        <v>73.5</v>
      </c>
      <c r="K71" s="9">
        <v>71.099999999999994</v>
      </c>
      <c r="L71" s="9">
        <v>65.400000000000006</v>
      </c>
      <c r="M71" s="9">
        <v>63.2</v>
      </c>
      <c r="N71" s="9">
        <v>60.5</v>
      </c>
    </row>
    <row r="72" spans="1:14" ht="12" customHeight="1">
      <c r="A72" s="4" t="s">
        <v>87</v>
      </c>
      <c r="B72" s="9" t="s">
        <v>136</v>
      </c>
      <c r="C72" s="9" t="s">
        <v>136</v>
      </c>
      <c r="D72" s="9" t="s">
        <v>136</v>
      </c>
      <c r="E72" s="9" t="s">
        <v>136</v>
      </c>
      <c r="F72" s="9">
        <v>0.5</v>
      </c>
      <c r="G72" s="9">
        <v>7.1</v>
      </c>
      <c r="H72" s="9">
        <v>33.299999999999997</v>
      </c>
      <c r="I72" s="9">
        <v>63.8</v>
      </c>
      <c r="J72" s="9">
        <v>72.3</v>
      </c>
      <c r="K72" s="9">
        <v>72.400000000000006</v>
      </c>
      <c r="L72" s="9">
        <v>71.900000000000006</v>
      </c>
      <c r="M72" s="9">
        <v>67.400000000000006</v>
      </c>
      <c r="N72" s="9">
        <v>65.2</v>
      </c>
    </row>
    <row r="73" spans="1:14" ht="12" customHeight="1">
      <c r="A73" s="4" t="s">
        <v>88</v>
      </c>
      <c r="B73" s="9" t="s">
        <v>136</v>
      </c>
      <c r="C73" s="9" t="s">
        <v>136</v>
      </c>
      <c r="D73" s="9" t="s">
        <v>136</v>
      </c>
      <c r="E73" s="9" t="s">
        <v>136</v>
      </c>
      <c r="F73" s="9">
        <v>0.5</v>
      </c>
      <c r="G73" s="9">
        <v>5.8</v>
      </c>
      <c r="H73" s="9">
        <v>25.2</v>
      </c>
      <c r="I73" s="9">
        <v>60.4</v>
      </c>
      <c r="J73" s="9">
        <v>73.900000000000006</v>
      </c>
      <c r="K73" s="9">
        <v>72.400000000000006</v>
      </c>
      <c r="L73" s="9">
        <v>70.5</v>
      </c>
      <c r="M73" s="9">
        <v>76.3</v>
      </c>
      <c r="N73" s="9">
        <v>71.5</v>
      </c>
    </row>
    <row r="74" spans="1:14" ht="12" customHeight="1">
      <c r="A74" s="4" t="s">
        <v>89</v>
      </c>
      <c r="B74" s="9" t="s">
        <v>136</v>
      </c>
      <c r="C74" s="9" t="s">
        <v>136</v>
      </c>
      <c r="D74" s="9" t="s">
        <v>136</v>
      </c>
      <c r="E74" s="9" t="s">
        <v>136</v>
      </c>
      <c r="F74" s="9">
        <v>0.1</v>
      </c>
      <c r="G74" s="9">
        <v>3.9</v>
      </c>
      <c r="H74" s="9">
        <v>24.3</v>
      </c>
      <c r="I74" s="9">
        <v>50.5</v>
      </c>
      <c r="J74" s="9">
        <v>69.400000000000006</v>
      </c>
      <c r="K74" s="9">
        <v>76.900000000000006</v>
      </c>
      <c r="L74" s="9">
        <v>70.3</v>
      </c>
      <c r="M74" s="9">
        <v>75.7</v>
      </c>
      <c r="N74" s="9">
        <v>67.3</v>
      </c>
    </row>
    <row r="75" spans="1:14" ht="12" customHeight="1">
      <c r="A75" s="4" t="s">
        <v>90</v>
      </c>
      <c r="B75" s="9" t="s">
        <v>136</v>
      </c>
      <c r="C75" s="9" t="s">
        <v>136</v>
      </c>
      <c r="D75" s="9" t="s">
        <v>136</v>
      </c>
      <c r="E75" s="9">
        <v>0</v>
      </c>
      <c r="F75" s="9">
        <v>0.2</v>
      </c>
      <c r="G75" s="9">
        <v>3.4</v>
      </c>
      <c r="H75" s="9">
        <v>14.2</v>
      </c>
      <c r="I75" s="9">
        <v>44.5</v>
      </c>
      <c r="J75" s="9">
        <v>63</v>
      </c>
      <c r="K75" s="9">
        <v>74.2</v>
      </c>
      <c r="L75" s="9">
        <v>75</v>
      </c>
      <c r="M75" s="9">
        <v>73.2</v>
      </c>
      <c r="N75" s="9">
        <v>74.400000000000006</v>
      </c>
    </row>
    <row r="76" spans="1:14" ht="12" customHeight="1">
      <c r="A76" s="4" t="s">
        <v>91</v>
      </c>
      <c r="B76" s="9" t="s">
        <v>136</v>
      </c>
      <c r="C76" s="9" t="s">
        <v>136</v>
      </c>
      <c r="D76" s="9" t="s">
        <v>136</v>
      </c>
      <c r="E76" s="9" t="s">
        <v>136</v>
      </c>
      <c r="F76" s="9" t="s">
        <v>136</v>
      </c>
      <c r="G76" s="9">
        <v>1.1000000000000001</v>
      </c>
      <c r="H76" s="9">
        <v>14.4</v>
      </c>
      <c r="I76" s="9">
        <v>34.299999999999997</v>
      </c>
      <c r="J76" s="9">
        <v>53.5</v>
      </c>
      <c r="K76" s="9">
        <v>64.5</v>
      </c>
      <c r="L76" s="9">
        <v>67.900000000000006</v>
      </c>
      <c r="M76" s="9">
        <v>68.3</v>
      </c>
      <c r="N76" s="9">
        <v>68.2</v>
      </c>
    </row>
    <row r="77" spans="1:14" ht="12" customHeight="1">
      <c r="A77" s="4" t="s">
        <v>92</v>
      </c>
      <c r="B77" s="9" t="s">
        <v>136</v>
      </c>
      <c r="C77" s="9" t="s">
        <v>136</v>
      </c>
      <c r="D77" s="9" t="s">
        <v>136</v>
      </c>
      <c r="E77" s="9" t="s">
        <v>136</v>
      </c>
      <c r="F77" s="9" t="s">
        <v>136</v>
      </c>
      <c r="G77" s="9">
        <v>0.9</v>
      </c>
      <c r="H77" s="9">
        <v>10.3</v>
      </c>
      <c r="I77" s="9">
        <v>29.3</v>
      </c>
      <c r="J77" s="9">
        <v>47.5</v>
      </c>
      <c r="K77" s="9">
        <v>55.3</v>
      </c>
      <c r="L77" s="9">
        <v>63.3</v>
      </c>
      <c r="M77" s="9">
        <v>66.3</v>
      </c>
      <c r="N77" s="9">
        <v>69.3</v>
      </c>
    </row>
    <row r="78" spans="1:14" ht="12" customHeight="1">
      <c r="A78" s="4" t="s">
        <v>93</v>
      </c>
      <c r="B78" s="9" t="s">
        <v>136</v>
      </c>
      <c r="C78" s="9" t="s">
        <v>136</v>
      </c>
      <c r="D78" s="9" t="s">
        <v>136</v>
      </c>
      <c r="E78" s="9" t="s">
        <v>136</v>
      </c>
      <c r="F78" s="9" t="s">
        <v>136</v>
      </c>
      <c r="G78" s="9">
        <v>0.4</v>
      </c>
      <c r="H78" s="9">
        <v>6</v>
      </c>
      <c r="I78" s="9">
        <v>20.8</v>
      </c>
      <c r="J78" s="9">
        <v>39.200000000000003</v>
      </c>
      <c r="K78" s="9">
        <v>49.4</v>
      </c>
      <c r="L78" s="9">
        <v>55</v>
      </c>
      <c r="M78" s="9">
        <v>60.8</v>
      </c>
      <c r="N78" s="9">
        <v>63.8</v>
      </c>
    </row>
    <row r="79" spans="1:14" ht="12" customHeight="1">
      <c r="A79" s="4" t="s">
        <v>94</v>
      </c>
      <c r="B79" s="9" t="s">
        <v>136</v>
      </c>
      <c r="C79" s="9" t="s">
        <v>136</v>
      </c>
      <c r="D79" s="9" t="s">
        <v>136</v>
      </c>
      <c r="E79" s="9" t="s">
        <v>136</v>
      </c>
      <c r="F79" s="9" t="s">
        <v>136</v>
      </c>
      <c r="G79" s="9">
        <v>0.5</v>
      </c>
      <c r="H79" s="9">
        <v>4</v>
      </c>
      <c r="I79" s="9">
        <v>16.600000000000001</v>
      </c>
      <c r="J79" s="9">
        <v>31.7</v>
      </c>
      <c r="K79" s="9">
        <v>39.1</v>
      </c>
      <c r="L79" s="9">
        <v>47.6</v>
      </c>
      <c r="M79" s="9">
        <v>52.5</v>
      </c>
      <c r="N79" s="9">
        <v>53.4</v>
      </c>
    </row>
    <row r="80" spans="1:14" ht="12" customHeight="1">
      <c r="A80" s="4" t="s">
        <v>95</v>
      </c>
      <c r="B80" s="9" t="s">
        <v>136</v>
      </c>
      <c r="C80" s="9" t="s">
        <v>136</v>
      </c>
      <c r="D80" s="9" t="s">
        <v>136</v>
      </c>
      <c r="E80" s="9" t="s">
        <v>136</v>
      </c>
      <c r="F80" s="9" t="s">
        <v>136</v>
      </c>
      <c r="G80" s="9">
        <v>0.2</v>
      </c>
      <c r="H80" s="9">
        <v>2.6</v>
      </c>
      <c r="I80" s="9">
        <v>13.4</v>
      </c>
      <c r="J80" s="9">
        <v>23.4</v>
      </c>
      <c r="K80" s="9">
        <v>34.6</v>
      </c>
      <c r="L80" s="9">
        <v>36</v>
      </c>
      <c r="M80" s="9">
        <v>42.2</v>
      </c>
      <c r="N80" s="9">
        <v>47</v>
      </c>
    </row>
    <row r="81" spans="1:14" ht="12" customHeight="1">
      <c r="A81" s="4" t="s">
        <v>96</v>
      </c>
      <c r="B81" s="9" t="s">
        <v>136</v>
      </c>
      <c r="C81" s="9" t="s">
        <v>136</v>
      </c>
      <c r="D81" s="9" t="s">
        <v>136</v>
      </c>
      <c r="E81" s="9" t="s">
        <v>136</v>
      </c>
      <c r="F81" s="9" t="s">
        <v>136</v>
      </c>
      <c r="G81" s="9">
        <v>0.1</v>
      </c>
      <c r="H81" s="9">
        <v>2.2000000000000002</v>
      </c>
      <c r="I81" s="9">
        <v>9.1</v>
      </c>
      <c r="J81" s="9">
        <v>19.2</v>
      </c>
      <c r="K81" s="9">
        <v>28.4</v>
      </c>
      <c r="L81" s="9">
        <v>31</v>
      </c>
      <c r="M81" s="9">
        <v>33.299999999999997</v>
      </c>
      <c r="N81" s="9">
        <v>39.5</v>
      </c>
    </row>
    <row r="82" spans="1:14" ht="12" customHeight="1">
      <c r="A82" s="4" t="s">
        <v>97</v>
      </c>
      <c r="B82" s="9" t="s">
        <v>136</v>
      </c>
      <c r="C82" s="9" t="s">
        <v>136</v>
      </c>
      <c r="D82" s="9" t="s">
        <v>136</v>
      </c>
      <c r="E82" s="9" t="s">
        <v>136</v>
      </c>
      <c r="F82" s="9" t="s">
        <v>136</v>
      </c>
      <c r="G82" s="9" t="s">
        <v>136</v>
      </c>
      <c r="H82" s="9">
        <v>1.3</v>
      </c>
      <c r="I82" s="9">
        <v>6</v>
      </c>
      <c r="J82" s="9">
        <v>13.3</v>
      </c>
      <c r="K82" s="9">
        <v>21.2</v>
      </c>
      <c r="L82" s="9">
        <v>26.3</v>
      </c>
      <c r="M82" s="9">
        <v>28.4</v>
      </c>
      <c r="N82" s="9">
        <v>31.4</v>
      </c>
    </row>
    <row r="83" spans="1:14" ht="12" customHeight="1">
      <c r="A83" s="4" t="s">
        <v>98</v>
      </c>
      <c r="B83" s="9" t="s">
        <v>136</v>
      </c>
      <c r="C83" s="9" t="s">
        <v>136</v>
      </c>
      <c r="D83" s="9" t="s">
        <v>136</v>
      </c>
      <c r="E83" s="9" t="s">
        <v>136</v>
      </c>
      <c r="F83" s="9">
        <v>0.1</v>
      </c>
      <c r="G83" s="9">
        <v>0</v>
      </c>
      <c r="H83" s="9">
        <v>0.7</v>
      </c>
      <c r="I83" s="9">
        <v>3.9</v>
      </c>
      <c r="J83" s="9">
        <v>9.1</v>
      </c>
      <c r="K83" s="9">
        <v>14.1</v>
      </c>
      <c r="L83" s="9">
        <v>16.8</v>
      </c>
      <c r="M83" s="9">
        <v>18.100000000000001</v>
      </c>
      <c r="N83" s="9">
        <v>24.1</v>
      </c>
    </row>
    <row r="84" spans="1:14" ht="12" customHeight="1">
      <c r="A84" s="4" t="s">
        <v>99</v>
      </c>
      <c r="B84" s="9" t="s">
        <v>136</v>
      </c>
      <c r="C84" s="9" t="s">
        <v>136</v>
      </c>
      <c r="D84" s="9" t="s">
        <v>136</v>
      </c>
      <c r="E84" s="9" t="s">
        <v>136</v>
      </c>
      <c r="F84" s="9" t="s">
        <v>136</v>
      </c>
      <c r="G84" s="9" t="s">
        <v>136</v>
      </c>
      <c r="H84" s="9">
        <v>0.3</v>
      </c>
      <c r="I84" s="9">
        <v>2.6</v>
      </c>
      <c r="J84" s="9">
        <v>6.2</v>
      </c>
      <c r="K84" s="9">
        <v>11.6</v>
      </c>
      <c r="L84" s="9">
        <v>13.6</v>
      </c>
      <c r="M84" s="9">
        <v>14.3</v>
      </c>
      <c r="N84" s="9">
        <v>17.8</v>
      </c>
    </row>
    <row r="85" spans="1:14" ht="12" customHeight="1">
      <c r="A85" s="4" t="s">
        <v>100</v>
      </c>
      <c r="B85" s="9" t="s">
        <v>136</v>
      </c>
      <c r="C85" s="9" t="s">
        <v>136</v>
      </c>
      <c r="D85" s="9" t="s">
        <v>136</v>
      </c>
      <c r="E85" s="9" t="s">
        <v>136</v>
      </c>
      <c r="F85" s="9" t="s">
        <v>136</v>
      </c>
      <c r="G85" s="9" t="s">
        <v>136</v>
      </c>
      <c r="H85" s="9">
        <v>0.1</v>
      </c>
      <c r="I85" s="9">
        <v>1.6</v>
      </c>
      <c r="J85" s="9">
        <v>5.3</v>
      </c>
      <c r="K85" s="9">
        <v>7.7</v>
      </c>
      <c r="L85" s="9">
        <v>10.199999999999999</v>
      </c>
      <c r="M85" s="9">
        <v>9.6999999999999993</v>
      </c>
      <c r="N85" s="9">
        <v>12.3</v>
      </c>
    </row>
    <row r="86" spans="1:14" ht="12" customHeight="1">
      <c r="A86" s="4" t="s">
        <v>101</v>
      </c>
      <c r="B86" s="9" t="s">
        <v>136</v>
      </c>
      <c r="C86" s="9" t="s">
        <v>136</v>
      </c>
      <c r="D86" s="9" t="s">
        <v>136</v>
      </c>
      <c r="E86" s="9" t="s">
        <v>136</v>
      </c>
      <c r="F86" s="9" t="s">
        <v>136</v>
      </c>
      <c r="G86" s="9" t="s">
        <v>136</v>
      </c>
      <c r="H86" s="9">
        <v>0.1</v>
      </c>
      <c r="I86" s="9">
        <v>0.7</v>
      </c>
      <c r="J86" s="9">
        <v>2.7</v>
      </c>
      <c r="K86" s="9">
        <v>3.4</v>
      </c>
      <c r="L86" s="9">
        <v>5.6</v>
      </c>
      <c r="M86" s="9">
        <v>8.4</v>
      </c>
      <c r="N86" s="9">
        <v>8.6999999999999993</v>
      </c>
    </row>
    <row r="87" spans="1:14" ht="12" customHeight="1">
      <c r="A87" s="4" t="s">
        <v>102</v>
      </c>
      <c r="B87" s="9" t="s">
        <v>136</v>
      </c>
      <c r="C87" s="9" t="s">
        <v>136</v>
      </c>
      <c r="D87" s="9" t="s">
        <v>136</v>
      </c>
      <c r="E87" s="9" t="s">
        <v>136</v>
      </c>
      <c r="F87" s="9" t="s">
        <v>136</v>
      </c>
      <c r="G87" s="9" t="s">
        <v>136</v>
      </c>
      <c r="H87" s="9">
        <v>0.1</v>
      </c>
      <c r="I87" s="9">
        <v>0.5</v>
      </c>
      <c r="J87" s="9">
        <v>1.1000000000000001</v>
      </c>
      <c r="K87" s="9">
        <v>2.8</v>
      </c>
      <c r="L87" s="9">
        <v>4.5999999999999996</v>
      </c>
      <c r="M87" s="9">
        <v>4.8</v>
      </c>
      <c r="N87" s="9">
        <v>7.6</v>
      </c>
    </row>
    <row r="88" spans="1:14" ht="12" customHeight="1">
      <c r="A88" s="4" t="s">
        <v>103</v>
      </c>
      <c r="B88" s="9" t="s">
        <v>136</v>
      </c>
      <c r="C88" s="9" t="s">
        <v>136</v>
      </c>
      <c r="D88" s="9" t="s">
        <v>136</v>
      </c>
      <c r="E88" s="9" t="s">
        <v>136</v>
      </c>
      <c r="F88" s="9" t="s">
        <v>136</v>
      </c>
      <c r="G88" s="9" t="s">
        <v>136</v>
      </c>
      <c r="H88" s="9">
        <v>0.1</v>
      </c>
      <c r="I88" s="9">
        <v>0.5</v>
      </c>
      <c r="J88" s="9">
        <v>1</v>
      </c>
      <c r="K88" s="9">
        <v>1.8</v>
      </c>
      <c r="L88" s="9">
        <v>2.4</v>
      </c>
      <c r="M88" s="9">
        <v>4.5</v>
      </c>
      <c r="N88" s="9">
        <v>3.9</v>
      </c>
    </row>
    <row r="89" spans="1:14" ht="12" customHeight="1">
      <c r="A89" s="4" t="s">
        <v>104</v>
      </c>
      <c r="B89" s="9" t="s">
        <v>136</v>
      </c>
      <c r="C89" s="9" t="s">
        <v>136</v>
      </c>
      <c r="D89" s="9" t="s">
        <v>136</v>
      </c>
      <c r="E89" s="9" t="s">
        <v>136</v>
      </c>
      <c r="F89" s="9" t="s">
        <v>136</v>
      </c>
      <c r="G89" s="9" t="s">
        <v>136</v>
      </c>
      <c r="H89" s="9" t="s">
        <v>136</v>
      </c>
      <c r="I89" s="9">
        <v>0.2</v>
      </c>
      <c r="J89" s="9">
        <v>1.3</v>
      </c>
      <c r="K89" s="9">
        <v>1.6</v>
      </c>
      <c r="L89" s="9">
        <v>1.9</v>
      </c>
      <c r="M89" s="9">
        <v>2.9</v>
      </c>
      <c r="N89" s="9">
        <v>2.9</v>
      </c>
    </row>
    <row r="90" spans="1:14" ht="12" customHeight="1">
      <c r="A90" s="4" t="s">
        <v>105</v>
      </c>
      <c r="B90" s="9" t="s">
        <v>136</v>
      </c>
      <c r="C90" s="9" t="s">
        <v>136</v>
      </c>
      <c r="D90" s="9" t="s">
        <v>136</v>
      </c>
      <c r="E90" s="9" t="s">
        <v>136</v>
      </c>
      <c r="F90" s="9" t="s">
        <v>136</v>
      </c>
      <c r="G90" s="9" t="s">
        <v>136</v>
      </c>
      <c r="H90" s="9" t="s">
        <v>136</v>
      </c>
      <c r="I90" s="9">
        <v>0.1</v>
      </c>
      <c r="J90" s="9">
        <v>0.4</v>
      </c>
      <c r="K90" s="9">
        <v>0.9</v>
      </c>
      <c r="L90" s="9">
        <v>1.2</v>
      </c>
      <c r="M90" s="9">
        <v>1.5</v>
      </c>
      <c r="N90" s="9">
        <v>1.6</v>
      </c>
    </row>
    <row r="91" spans="1:14" ht="12" customHeight="1">
      <c r="A91" s="4" t="s">
        <v>106</v>
      </c>
      <c r="B91" s="9" t="s">
        <v>136</v>
      </c>
      <c r="C91" s="9" t="s">
        <v>136</v>
      </c>
      <c r="D91" s="9" t="s">
        <v>136</v>
      </c>
      <c r="E91" s="9" t="s">
        <v>136</v>
      </c>
      <c r="F91" s="9" t="s">
        <v>136</v>
      </c>
      <c r="G91" s="9" t="s">
        <v>136</v>
      </c>
      <c r="H91" s="9" t="s">
        <v>136</v>
      </c>
      <c r="I91" s="9">
        <v>0.1</v>
      </c>
      <c r="J91" s="9">
        <v>0.2</v>
      </c>
      <c r="K91" s="9">
        <v>0.5</v>
      </c>
      <c r="L91" s="9">
        <v>0.7</v>
      </c>
      <c r="M91" s="9">
        <v>0.8</v>
      </c>
      <c r="N91" s="9">
        <v>1.2</v>
      </c>
    </row>
    <row r="92" spans="1:14" ht="12" customHeight="1">
      <c r="A92" s="4" t="s">
        <v>107</v>
      </c>
      <c r="B92" s="9" t="s">
        <v>136</v>
      </c>
      <c r="C92" s="9" t="s">
        <v>136</v>
      </c>
      <c r="D92" s="9" t="s">
        <v>136</v>
      </c>
      <c r="E92" s="9" t="s">
        <v>136</v>
      </c>
      <c r="F92" s="9" t="s">
        <v>136</v>
      </c>
      <c r="G92" s="9" t="s">
        <v>136</v>
      </c>
      <c r="H92" s="9" t="s">
        <v>136</v>
      </c>
      <c r="I92" s="9">
        <v>0</v>
      </c>
      <c r="J92" s="9">
        <v>0.1</v>
      </c>
      <c r="K92" s="9">
        <v>0.3</v>
      </c>
      <c r="L92" s="9">
        <v>0.4</v>
      </c>
      <c r="M92" s="9">
        <v>0.5</v>
      </c>
      <c r="N92" s="9">
        <v>0.7</v>
      </c>
    </row>
    <row r="93" spans="1:14" ht="12" customHeight="1">
      <c r="A93" s="4" t="s">
        <v>108</v>
      </c>
      <c r="B93" s="9" t="s">
        <v>136</v>
      </c>
      <c r="C93" s="9" t="s">
        <v>136</v>
      </c>
      <c r="D93" s="9" t="s">
        <v>136</v>
      </c>
      <c r="E93" s="9" t="s">
        <v>136</v>
      </c>
      <c r="F93" s="9" t="s">
        <v>136</v>
      </c>
      <c r="G93" s="9" t="s">
        <v>136</v>
      </c>
      <c r="H93" s="9" t="s">
        <v>136</v>
      </c>
      <c r="I93" s="9" t="s">
        <v>136</v>
      </c>
      <c r="J93" s="9">
        <v>0.1</v>
      </c>
      <c r="K93" s="9">
        <v>0.1</v>
      </c>
      <c r="L93" s="9">
        <v>0.2</v>
      </c>
      <c r="M93" s="9">
        <v>0.4</v>
      </c>
      <c r="N93" s="9">
        <v>0.2</v>
      </c>
    </row>
    <row r="94" spans="1:14" ht="12" customHeight="1">
      <c r="A94" s="4" t="s">
        <v>109</v>
      </c>
      <c r="B94" s="9" t="s">
        <v>136</v>
      </c>
      <c r="C94" s="9" t="s">
        <v>136</v>
      </c>
      <c r="D94" s="9" t="s">
        <v>136</v>
      </c>
      <c r="E94" s="9" t="s">
        <v>136</v>
      </c>
      <c r="F94" s="9" t="s">
        <v>136</v>
      </c>
      <c r="G94" s="9" t="s">
        <v>136</v>
      </c>
      <c r="H94" s="9" t="s">
        <v>136</v>
      </c>
      <c r="I94" s="9" t="s">
        <v>136</v>
      </c>
      <c r="J94" s="9">
        <v>0</v>
      </c>
      <c r="K94" s="9">
        <v>0</v>
      </c>
      <c r="L94" s="9">
        <v>0.2</v>
      </c>
      <c r="M94" s="9">
        <v>0.2</v>
      </c>
      <c r="N94" s="9">
        <v>0.2</v>
      </c>
    </row>
    <row r="95" spans="1:14" ht="12" customHeight="1">
      <c r="A95" s="4" t="s">
        <v>110</v>
      </c>
      <c r="B95" s="9" t="s">
        <v>136</v>
      </c>
      <c r="C95" s="9" t="s">
        <v>136</v>
      </c>
      <c r="D95" s="9" t="s">
        <v>136</v>
      </c>
      <c r="E95" s="9" t="s">
        <v>136</v>
      </c>
      <c r="F95" s="9" t="s">
        <v>136</v>
      </c>
      <c r="G95" s="9" t="s">
        <v>136</v>
      </c>
      <c r="H95" s="9" t="s">
        <v>136</v>
      </c>
      <c r="I95" s="9" t="s">
        <v>136</v>
      </c>
      <c r="J95" s="9" t="s">
        <v>136</v>
      </c>
      <c r="K95" s="9">
        <v>0.1</v>
      </c>
      <c r="L95" s="9" t="s">
        <v>136</v>
      </c>
      <c r="M95" s="9">
        <v>0.2</v>
      </c>
      <c r="N95" s="9">
        <v>0.1</v>
      </c>
    </row>
    <row r="96" spans="1:14" ht="12" customHeight="1">
      <c r="A96" s="4" t="s">
        <v>111</v>
      </c>
      <c r="B96" s="9" t="s">
        <v>136</v>
      </c>
      <c r="C96" s="9" t="s">
        <v>136</v>
      </c>
      <c r="D96" s="9" t="s">
        <v>136</v>
      </c>
      <c r="E96" s="9" t="s">
        <v>136</v>
      </c>
      <c r="F96" s="9" t="s">
        <v>136</v>
      </c>
      <c r="G96" s="9" t="s">
        <v>136</v>
      </c>
      <c r="H96" s="9" t="s">
        <v>136</v>
      </c>
      <c r="I96" s="9" t="s">
        <v>136</v>
      </c>
      <c r="J96" s="9" t="s">
        <v>136</v>
      </c>
      <c r="K96" s="9">
        <v>0.2</v>
      </c>
      <c r="L96" s="9" t="s">
        <v>136</v>
      </c>
      <c r="M96" s="9">
        <v>0.3</v>
      </c>
      <c r="N96" s="9">
        <v>0.1</v>
      </c>
    </row>
    <row r="97" spans="1:14" ht="12" customHeight="1">
      <c r="A97" s="4" t="s">
        <v>112</v>
      </c>
      <c r="B97" s="9" t="s">
        <v>136</v>
      </c>
      <c r="C97" s="9" t="s">
        <v>136</v>
      </c>
      <c r="D97" s="9" t="s">
        <v>136</v>
      </c>
      <c r="E97" s="9" t="s">
        <v>136</v>
      </c>
      <c r="F97" s="9" t="s">
        <v>136</v>
      </c>
      <c r="G97" s="9" t="s">
        <v>136</v>
      </c>
      <c r="H97" s="9" t="s">
        <v>136</v>
      </c>
      <c r="I97" s="9" t="s">
        <v>136</v>
      </c>
      <c r="J97" s="9" t="s">
        <v>136</v>
      </c>
      <c r="K97" s="9">
        <v>0</v>
      </c>
      <c r="L97" s="9">
        <v>0</v>
      </c>
      <c r="M97" s="9">
        <v>0.1</v>
      </c>
      <c r="N97" s="9" t="s">
        <v>136</v>
      </c>
    </row>
    <row r="98" spans="1:14" ht="12" customHeight="1">
      <c r="A98" s="4" t="s">
        <v>113</v>
      </c>
      <c r="B98" s="9" t="s">
        <v>136</v>
      </c>
      <c r="C98" s="9" t="s">
        <v>136</v>
      </c>
      <c r="D98" s="9" t="s">
        <v>136</v>
      </c>
      <c r="E98" s="9" t="s">
        <v>136</v>
      </c>
      <c r="F98" s="9" t="s">
        <v>136</v>
      </c>
      <c r="G98" s="9" t="s">
        <v>136</v>
      </c>
      <c r="H98" s="9" t="s">
        <v>136</v>
      </c>
      <c r="I98" s="9" t="s">
        <v>136</v>
      </c>
      <c r="J98" s="9" t="s">
        <v>136</v>
      </c>
      <c r="K98" s="9" t="s">
        <v>136</v>
      </c>
      <c r="L98" s="9" t="s">
        <v>136</v>
      </c>
      <c r="M98" s="9">
        <v>0.2</v>
      </c>
      <c r="N98" s="9">
        <v>0.2</v>
      </c>
    </row>
    <row r="99" spans="1:14" ht="12" customHeight="1">
      <c r="A99" s="4" t="s">
        <v>114</v>
      </c>
      <c r="B99" s="9" t="s">
        <v>136</v>
      </c>
      <c r="C99" s="9" t="s">
        <v>136</v>
      </c>
      <c r="D99" s="9" t="s">
        <v>136</v>
      </c>
      <c r="E99" s="9" t="s">
        <v>136</v>
      </c>
      <c r="F99" s="9" t="s">
        <v>136</v>
      </c>
      <c r="G99" s="9" t="s">
        <v>136</v>
      </c>
      <c r="H99" s="9" t="s">
        <v>136</v>
      </c>
      <c r="I99" s="9" t="s">
        <v>136</v>
      </c>
      <c r="J99" s="9" t="s">
        <v>136</v>
      </c>
      <c r="K99" s="9" t="s">
        <v>136</v>
      </c>
      <c r="L99" s="9" t="s">
        <v>136</v>
      </c>
      <c r="M99" s="9">
        <v>0</v>
      </c>
      <c r="N99" s="9" t="s">
        <v>136</v>
      </c>
    </row>
    <row r="100" spans="1:14" ht="12" customHeight="1">
      <c r="A100" s="4" t="s">
        <v>115</v>
      </c>
      <c r="B100" s="9" t="s">
        <v>136</v>
      </c>
      <c r="C100" s="9" t="s">
        <v>136</v>
      </c>
      <c r="D100" s="9" t="s">
        <v>136</v>
      </c>
      <c r="E100" s="9" t="s">
        <v>136</v>
      </c>
      <c r="F100" s="9" t="s">
        <v>136</v>
      </c>
      <c r="G100" s="9" t="s">
        <v>136</v>
      </c>
      <c r="H100" s="9" t="s">
        <v>136</v>
      </c>
      <c r="I100" s="9" t="s">
        <v>136</v>
      </c>
      <c r="J100" s="9" t="s">
        <v>136</v>
      </c>
      <c r="K100" s="9" t="s">
        <v>136</v>
      </c>
      <c r="L100" s="9" t="s">
        <v>136</v>
      </c>
      <c r="M100" s="9">
        <v>0</v>
      </c>
      <c r="N100" s="9" t="s">
        <v>136</v>
      </c>
    </row>
    <row r="101" spans="1:14" ht="12" customHeight="1">
      <c r="A101" s="4" t="s">
        <v>116</v>
      </c>
      <c r="B101" s="9" t="s">
        <v>136</v>
      </c>
      <c r="C101" s="9" t="s">
        <v>136</v>
      </c>
      <c r="D101" s="9" t="s">
        <v>136</v>
      </c>
      <c r="E101" s="9" t="s">
        <v>136</v>
      </c>
      <c r="F101" s="9" t="s">
        <v>136</v>
      </c>
      <c r="G101" s="9" t="s">
        <v>136</v>
      </c>
      <c r="H101" s="9" t="s">
        <v>136</v>
      </c>
      <c r="I101" s="9" t="s">
        <v>136</v>
      </c>
      <c r="J101" s="9" t="s">
        <v>136</v>
      </c>
      <c r="K101" s="9" t="s">
        <v>136</v>
      </c>
      <c r="L101" s="9" t="s">
        <v>136</v>
      </c>
      <c r="M101" s="9" t="s">
        <v>136</v>
      </c>
      <c r="N101" s="9" t="s">
        <v>136</v>
      </c>
    </row>
    <row r="102" spans="1:14" ht="12" customHeight="1">
      <c r="A102" s="4" t="s">
        <v>117</v>
      </c>
      <c r="B102" s="9" t="s">
        <v>136</v>
      </c>
      <c r="C102" s="9" t="s">
        <v>136</v>
      </c>
      <c r="D102" s="9" t="s">
        <v>136</v>
      </c>
      <c r="E102" s="9" t="s">
        <v>136</v>
      </c>
      <c r="F102" s="9" t="s">
        <v>136</v>
      </c>
      <c r="G102" s="9" t="s">
        <v>136</v>
      </c>
      <c r="H102" s="9" t="s">
        <v>136</v>
      </c>
      <c r="I102" s="9" t="s">
        <v>136</v>
      </c>
      <c r="J102" s="9" t="s">
        <v>136</v>
      </c>
      <c r="K102" s="9">
        <v>0</v>
      </c>
      <c r="L102" s="9" t="s">
        <v>136</v>
      </c>
      <c r="M102" s="9" t="s">
        <v>136</v>
      </c>
      <c r="N102" s="9">
        <v>0</v>
      </c>
    </row>
    <row r="103" spans="1:14" ht="12" customHeight="1">
      <c r="A103" s="4" t="s">
        <v>118</v>
      </c>
      <c r="B103" s="9" t="s">
        <v>136</v>
      </c>
      <c r="C103" s="9" t="s">
        <v>136</v>
      </c>
      <c r="D103" s="9" t="s">
        <v>136</v>
      </c>
      <c r="E103" s="9" t="s">
        <v>136</v>
      </c>
      <c r="F103" s="9" t="s">
        <v>136</v>
      </c>
      <c r="G103" s="9" t="s">
        <v>136</v>
      </c>
      <c r="H103" s="9" t="s">
        <v>136</v>
      </c>
      <c r="I103" s="9" t="s">
        <v>136</v>
      </c>
      <c r="J103" s="9" t="s">
        <v>136</v>
      </c>
      <c r="K103" s="9" t="s">
        <v>136</v>
      </c>
      <c r="L103" s="9" t="s">
        <v>136</v>
      </c>
      <c r="M103" s="9" t="s">
        <v>136</v>
      </c>
      <c r="N103" s="9" t="s">
        <v>136</v>
      </c>
    </row>
    <row r="104" spans="1:14" ht="12" customHeight="1">
      <c r="A104" s="4" t="s">
        <v>119</v>
      </c>
      <c r="B104" s="9" t="s">
        <v>136</v>
      </c>
      <c r="C104" s="9" t="s">
        <v>136</v>
      </c>
      <c r="D104" s="9" t="s">
        <v>136</v>
      </c>
      <c r="E104" s="9" t="s">
        <v>136</v>
      </c>
      <c r="F104" s="9" t="s">
        <v>136</v>
      </c>
      <c r="G104" s="9" t="s">
        <v>136</v>
      </c>
      <c r="H104" s="9" t="s">
        <v>136</v>
      </c>
      <c r="I104" s="9" t="s">
        <v>136</v>
      </c>
      <c r="J104" s="9" t="s">
        <v>136</v>
      </c>
      <c r="K104" s="9" t="s">
        <v>136</v>
      </c>
      <c r="L104" s="9" t="s">
        <v>136</v>
      </c>
      <c r="M104" s="9" t="s">
        <v>136</v>
      </c>
      <c r="N104" s="9" t="s">
        <v>136</v>
      </c>
    </row>
    <row r="105" spans="1:14" ht="12" customHeight="1">
      <c r="A105" s="4" t="s">
        <v>120</v>
      </c>
      <c r="B105" s="9" t="s">
        <v>136</v>
      </c>
      <c r="C105" s="9" t="s">
        <v>136</v>
      </c>
      <c r="D105" s="9" t="s">
        <v>136</v>
      </c>
      <c r="E105" s="9" t="s">
        <v>136</v>
      </c>
      <c r="F105" s="9" t="s">
        <v>136</v>
      </c>
      <c r="G105" s="9" t="s">
        <v>136</v>
      </c>
      <c r="H105" s="9" t="s">
        <v>136</v>
      </c>
      <c r="I105" s="9" t="s">
        <v>136</v>
      </c>
      <c r="J105" s="9" t="s">
        <v>136</v>
      </c>
      <c r="K105" s="9" t="s">
        <v>136</v>
      </c>
      <c r="L105" s="9" t="s">
        <v>136</v>
      </c>
      <c r="M105" s="9" t="s">
        <v>136</v>
      </c>
      <c r="N105" s="9" t="s">
        <v>136</v>
      </c>
    </row>
    <row r="106" spans="1:14" ht="12" customHeight="1">
      <c r="A106" s="4" t="s">
        <v>121</v>
      </c>
      <c r="B106" s="9" t="s">
        <v>136</v>
      </c>
      <c r="C106" s="9" t="s">
        <v>136</v>
      </c>
      <c r="D106" s="9" t="s">
        <v>136</v>
      </c>
      <c r="E106" s="9" t="s">
        <v>136</v>
      </c>
      <c r="F106" s="9" t="s">
        <v>136</v>
      </c>
      <c r="G106" s="9" t="s">
        <v>136</v>
      </c>
      <c r="H106" s="9" t="s">
        <v>136</v>
      </c>
      <c r="I106" s="9" t="s">
        <v>136</v>
      </c>
      <c r="J106" s="9" t="s">
        <v>136</v>
      </c>
      <c r="K106" s="9" t="s">
        <v>136</v>
      </c>
      <c r="L106" s="9" t="s">
        <v>136</v>
      </c>
      <c r="M106" s="9" t="s">
        <v>136</v>
      </c>
      <c r="N106" s="9" t="s">
        <v>136</v>
      </c>
    </row>
    <row r="107" spans="1:14" ht="12" customHeight="1">
      <c r="A107" s="4" t="s">
        <v>122</v>
      </c>
      <c r="B107" s="9" t="s">
        <v>136</v>
      </c>
      <c r="C107" s="9" t="s">
        <v>136</v>
      </c>
      <c r="D107" s="9" t="s">
        <v>136</v>
      </c>
      <c r="E107" s="9" t="s">
        <v>136</v>
      </c>
      <c r="F107" s="9" t="s">
        <v>136</v>
      </c>
      <c r="G107" s="9" t="s">
        <v>136</v>
      </c>
      <c r="H107" s="9" t="s">
        <v>136</v>
      </c>
      <c r="I107" s="9" t="s">
        <v>136</v>
      </c>
      <c r="J107" s="9" t="s">
        <v>136</v>
      </c>
      <c r="K107" s="9" t="s">
        <v>136</v>
      </c>
      <c r="L107" s="9" t="s">
        <v>136</v>
      </c>
      <c r="M107" s="9" t="s">
        <v>136</v>
      </c>
      <c r="N107" s="9" t="s">
        <v>136</v>
      </c>
    </row>
    <row r="108" spans="1:14" ht="12" customHeight="1">
      <c r="A108" s="4" t="s">
        <v>123</v>
      </c>
      <c r="B108" s="9" t="s">
        <v>136</v>
      </c>
      <c r="C108" s="9" t="s">
        <v>136</v>
      </c>
      <c r="D108" s="9" t="s">
        <v>136</v>
      </c>
      <c r="E108" s="9" t="s">
        <v>136</v>
      </c>
      <c r="F108" s="9" t="s">
        <v>136</v>
      </c>
      <c r="G108" s="9" t="s">
        <v>136</v>
      </c>
      <c r="H108" s="9" t="s">
        <v>136</v>
      </c>
      <c r="I108" s="9" t="s">
        <v>136</v>
      </c>
      <c r="J108" s="9" t="s">
        <v>136</v>
      </c>
      <c r="K108" s="9" t="s">
        <v>136</v>
      </c>
      <c r="L108" s="9" t="s">
        <v>136</v>
      </c>
      <c r="M108" s="9" t="s">
        <v>136</v>
      </c>
      <c r="N108" s="9" t="s">
        <v>136</v>
      </c>
    </row>
    <row r="109" spans="1:14" ht="12" customHeight="1">
      <c r="A109" s="4" t="s">
        <v>124</v>
      </c>
      <c r="B109" s="9" t="s">
        <v>136</v>
      </c>
      <c r="C109" s="9" t="s">
        <v>136</v>
      </c>
      <c r="D109" s="9" t="s">
        <v>136</v>
      </c>
      <c r="E109" s="9" t="s">
        <v>136</v>
      </c>
      <c r="F109" s="9" t="s">
        <v>136</v>
      </c>
      <c r="G109" s="9" t="s">
        <v>136</v>
      </c>
      <c r="H109" s="9" t="s">
        <v>136</v>
      </c>
      <c r="I109" s="9" t="s">
        <v>136</v>
      </c>
      <c r="J109" s="9" t="s">
        <v>136</v>
      </c>
      <c r="K109" s="9" t="s">
        <v>136</v>
      </c>
      <c r="L109" s="9" t="s">
        <v>136</v>
      </c>
      <c r="M109" s="9" t="s">
        <v>136</v>
      </c>
      <c r="N109" s="9" t="s">
        <v>136</v>
      </c>
    </row>
    <row r="110" spans="1:14" ht="12" customHeight="1">
      <c r="A110" s="4" t="s">
        <v>125</v>
      </c>
      <c r="B110" s="9" t="s">
        <v>136</v>
      </c>
      <c r="C110" s="9" t="s">
        <v>136</v>
      </c>
      <c r="D110" s="9" t="s">
        <v>136</v>
      </c>
      <c r="E110" s="9" t="s">
        <v>136</v>
      </c>
      <c r="F110" s="9" t="s">
        <v>136</v>
      </c>
      <c r="G110" s="9" t="s">
        <v>136</v>
      </c>
      <c r="H110" s="9" t="s">
        <v>136</v>
      </c>
      <c r="I110" s="9" t="s">
        <v>136</v>
      </c>
      <c r="J110" s="9" t="s">
        <v>136</v>
      </c>
      <c r="K110" s="9" t="s">
        <v>136</v>
      </c>
      <c r="L110" s="9" t="s">
        <v>136</v>
      </c>
      <c r="M110" s="9" t="s">
        <v>136</v>
      </c>
      <c r="N110" s="9" t="s">
        <v>136</v>
      </c>
    </row>
    <row r="111" spans="1:14" ht="12" customHeight="1">
      <c r="A111" s="4" t="s">
        <v>126</v>
      </c>
      <c r="B111" s="9" t="s">
        <v>136</v>
      </c>
      <c r="C111" s="9" t="s">
        <v>136</v>
      </c>
      <c r="D111" s="9" t="s">
        <v>136</v>
      </c>
      <c r="E111" s="9" t="s">
        <v>136</v>
      </c>
      <c r="F111" s="9" t="s">
        <v>136</v>
      </c>
      <c r="G111" s="9" t="s">
        <v>136</v>
      </c>
      <c r="H111" s="9" t="s">
        <v>136</v>
      </c>
      <c r="I111" s="9" t="s">
        <v>136</v>
      </c>
      <c r="J111" s="9" t="s">
        <v>136</v>
      </c>
      <c r="K111" s="9" t="s">
        <v>136</v>
      </c>
      <c r="L111" s="9" t="s">
        <v>136</v>
      </c>
      <c r="M111" s="9" t="s">
        <v>136</v>
      </c>
      <c r="N111" s="9" t="s">
        <v>136</v>
      </c>
    </row>
    <row r="112" spans="1:14" ht="12" customHeight="1">
      <c r="A112" s="4" t="s">
        <v>127</v>
      </c>
      <c r="B112" s="9" t="s">
        <v>136</v>
      </c>
      <c r="C112" s="9" t="s">
        <v>136</v>
      </c>
      <c r="D112" s="9" t="s">
        <v>136</v>
      </c>
      <c r="E112" s="9" t="s">
        <v>136</v>
      </c>
      <c r="F112" s="9" t="s">
        <v>136</v>
      </c>
      <c r="G112" s="9" t="s">
        <v>136</v>
      </c>
      <c r="H112" s="9" t="s">
        <v>136</v>
      </c>
      <c r="I112" s="9" t="s">
        <v>136</v>
      </c>
      <c r="J112" s="9" t="s">
        <v>136</v>
      </c>
      <c r="K112" s="9" t="s">
        <v>136</v>
      </c>
      <c r="L112" s="9" t="s">
        <v>136</v>
      </c>
      <c r="M112" s="9" t="s">
        <v>136</v>
      </c>
      <c r="N112" s="9" t="s">
        <v>136</v>
      </c>
    </row>
    <row r="113" spans="1:14" ht="12" customHeight="1">
      <c r="A113" s="4" t="s">
        <v>128</v>
      </c>
      <c r="B113" s="9" t="s">
        <v>136</v>
      </c>
      <c r="C113" s="9" t="s">
        <v>136</v>
      </c>
      <c r="D113" s="9" t="s">
        <v>136</v>
      </c>
      <c r="E113" s="9" t="s">
        <v>136</v>
      </c>
      <c r="F113" s="9" t="s">
        <v>136</v>
      </c>
      <c r="G113" s="9" t="s">
        <v>136</v>
      </c>
      <c r="H113" s="9" t="s">
        <v>136</v>
      </c>
      <c r="I113" s="9" t="s">
        <v>136</v>
      </c>
      <c r="J113" s="9" t="s">
        <v>136</v>
      </c>
      <c r="K113" s="9" t="s">
        <v>136</v>
      </c>
      <c r="L113" s="9" t="s">
        <v>136</v>
      </c>
      <c r="M113" s="9" t="s">
        <v>136</v>
      </c>
      <c r="N113" s="9" t="s">
        <v>136</v>
      </c>
    </row>
    <row r="114" spans="1:14" ht="12" customHeight="1">
      <c r="A114" s="4" t="s">
        <v>129</v>
      </c>
      <c r="B114" s="9" t="s">
        <v>136</v>
      </c>
      <c r="C114" s="9" t="s">
        <v>136</v>
      </c>
      <c r="D114" s="9" t="s">
        <v>136</v>
      </c>
      <c r="E114" s="9" t="s">
        <v>136</v>
      </c>
      <c r="F114" s="9" t="s">
        <v>136</v>
      </c>
      <c r="G114" s="9" t="s">
        <v>136</v>
      </c>
      <c r="H114" s="9" t="s">
        <v>136</v>
      </c>
      <c r="I114" s="9" t="s">
        <v>136</v>
      </c>
      <c r="J114" s="9" t="s">
        <v>136</v>
      </c>
      <c r="K114" s="9" t="s">
        <v>136</v>
      </c>
      <c r="L114" s="9" t="s">
        <v>136</v>
      </c>
      <c r="M114" s="9" t="s">
        <v>136</v>
      </c>
      <c r="N114" s="9" t="s">
        <v>136</v>
      </c>
    </row>
    <row r="115" spans="1:14" ht="12" customHeight="1">
      <c r="A115" s="4" t="s">
        <v>130</v>
      </c>
      <c r="B115" s="9" t="s">
        <v>136</v>
      </c>
      <c r="C115" s="9" t="s">
        <v>136</v>
      </c>
      <c r="D115" s="9" t="s">
        <v>136</v>
      </c>
      <c r="E115" s="9" t="s">
        <v>136</v>
      </c>
      <c r="F115" s="9" t="s">
        <v>136</v>
      </c>
      <c r="G115" s="9" t="s">
        <v>136</v>
      </c>
      <c r="H115" s="9" t="s">
        <v>136</v>
      </c>
      <c r="I115" s="9" t="s">
        <v>136</v>
      </c>
      <c r="J115" s="9" t="s">
        <v>136</v>
      </c>
      <c r="K115" s="9" t="s">
        <v>136</v>
      </c>
      <c r="L115" s="9" t="s">
        <v>136</v>
      </c>
      <c r="M115" s="9" t="s">
        <v>136</v>
      </c>
      <c r="N115" s="9" t="s">
        <v>136</v>
      </c>
    </row>
    <row r="116" spans="1:14" ht="12" customHeight="1">
      <c r="A116" s="4" t="s">
        <v>131</v>
      </c>
      <c r="B116" s="9" t="s">
        <v>136</v>
      </c>
      <c r="C116" s="9" t="s">
        <v>136</v>
      </c>
      <c r="D116" s="9" t="s">
        <v>136</v>
      </c>
      <c r="E116" s="9" t="s">
        <v>136</v>
      </c>
      <c r="F116" s="9" t="s">
        <v>136</v>
      </c>
      <c r="G116" s="9" t="s">
        <v>136</v>
      </c>
      <c r="H116" s="9" t="s">
        <v>136</v>
      </c>
      <c r="I116" s="9" t="s">
        <v>136</v>
      </c>
      <c r="J116" s="9" t="s">
        <v>136</v>
      </c>
      <c r="K116" s="9" t="s">
        <v>136</v>
      </c>
      <c r="L116" s="9" t="s">
        <v>136</v>
      </c>
      <c r="M116" s="9" t="s">
        <v>136</v>
      </c>
      <c r="N116" s="9" t="s">
        <v>136</v>
      </c>
    </row>
    <row r="117" spans="1:14" ht="12" customHeight="1">
      <c r="A117" s="4" t="s">
        <v>132</v>
      </c>
      <c r="B117" s="9" t="s">
        <v>136</v>
      </c>
      <c r="C117" s="9" t="s">
        <v>136</v>
      </c>
      <c r="D117" s="9" t="s">
        <v>136</v>
      </c>
      <c r="E117" s="9" t="s">
        <v>136</v>
      </c>
      <c r="F117" s="9" t="s">
        <v>136</v>
      </c>
      <c r="G117" s="9" t="s">
        <v>136</v>
      </c>
      <c r="H117" s="9" t="s">
        <v>136</v>
      </c>
      <c r="I117" s="9" t="s">
        <v>136</v>
      </c>
      <c r="J117" s="9" t="s">
        <v>136</v>
      </c>
      <c r="K117" s="9" t="s">
        <v>136</v>
      </c>
      <c r="L117" s="9" t="s">
        <v>136</v>
      </c>
      <c r="M117" s="9" t="s">
        <v>136</v>
      </c>
      <c r="N117" s="9" t="s">
        <v>136</v>
      </c>
    </row>
    <row r="118" spans="1:14" ht="12" customHeight="1">
      <c r="A118" s="4" t="s">
        <v>133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</sheetData>
  <phoneticPr fontId="3"/>
  <pageMargins left="0.59055118110236227" right="0.59055118110236227" top="0.59055118110236227" bottom="0.59055118110236227" header="0.51181102362204722" footer="0.51181102362204722"/>
  <pageSetup paperSize="9" scale="8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02-001</vt:lpstr>
      <vt:lpstr>Sheet1</vt:lpstr>
      <vt:lpstr>Sheet2</vt:lpstr>
      <vt:lpstr>height17_R7</vt:lpstr>
      <vt:lpstr>02-002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Tamura Ryuichi</cp:lastModifiedBy>
  <cp:lastPrinted>2026-01-29T11:06:47Z</cp:lastPrinted>
  <dcterms:created xsi:type="dcterms:W3CDTF">2015-06-05T18:19:34Z</dcterms:created>
  <dcterms:modified xsi:type="dcterms:W3CDTF">2026-07-12T01:27:06Z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2026-01-29T10:32:04Z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444d0261-2d30-42d6-a995-adf5e6b4e215</vt:lpwstr>
  </property>
  <property fmtid="{D5CDD505-2E9C-101B-9397-08002B2CF9AE}" pid="8" name="MSIP_Label_d899a617-f30e-4fb8-b81c-fb6d0b94ac5b_ContentBits">
    <vt:lpwstr>0</vt:lpwstr>
  </property>
  <property fmtid="{D5CDD505-2E9C-101B-9397-08002B2CF9AE}" pid="9" name="MSIP_Label_d899a617-f30e-4fb8-b81c-fb6d0b94ac5b_Tag">
    <vt:lpwstr>10, 3, 0, 1</vt:lpwstr>
  </property>
</Properties>
</file>